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gel\Documents\DEMOGRAFÍA\DEMOGRAPHY_9219\data\"/>
    </mc:Choice>
  </mc:AlternateContent>
  <xr:revisionPtr revIDLastSave="0" documentId="13_ncr:1_{0B0FF624-9779-4D20-B126-62F6A6DAA4E2}" xr6:coauthVersionLast="47" xr6:coauthVersionMax="47" xr10:uidLastSave="{00000000-0000-0000-0000-000000000000}"/>
  <bookViews>
    <workbookView xWindow="-108" yWindow="-108" windowWidth="23256" windowHeight="12456" activeTab="1" xr2:uid="{651F2614-5642-439D-A7D3-7C598B0D877E}"/>
  </bookViews>
  <sheets>
    <sheet name="Mortalidad femenina 2010" sheetId="1" r:id="rId1"/>
    <sheet name="Mortalidad femenina 2019" sheetId="4" r:id="rId2"/>
    <sheet name="Mortalidad masculina 2010" sheetId="2" r:id="rId3"/>
    <sheet name="Mortalidad masculina 2019" sheetId="3" r:id="rId4"/>
    <sheet name="Mortalidad femenina 2021" sheetId="6" r:id="rId5"/>
    <sheet name="Mortalidad masculina 2021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" i="5" l="1"/>
  <c r="F22" i="5"/>
  <c r="E22" i="5"/>
  <c r="F21" i="5"/>
  <c r="E21" i="5"/>
  <c r="F20" i="5"/>
  <c r="E20" i="5"/>
  <c r="G20" i="5" s="1"/>
  <c r="H20" i="5" s="1"/>
  <c r="F19" i="5"/>
  <c r="E19" i="5"/>
  <c r="G19" i="5" s="1"/>
  <c r="H19" i="5" s="1"/>
  <c r="F18" i="5"/>
  <c r="E18" i="5"/>
  <c r="G18" i="5" s="1"/>
  <c r="H18" i="5" s="1"/>
  <c r="F17" i="5"/>
  <c r="E17" i="5"/>
  <c r="G17" i="5" s="1"/>
  <c r="H17" i="5" s="1"/>
  <c r="F16" i="5"/>
  <c r="E16" i="5"/>
  <c r="G16" i="5" s="1"/>
  <c r="H16" i="5" s="1"/>
  <c r="F15" i="5"/>
  <c r="E15" i="5"/>
  <c r="G15" i="5" s="1"/>
  <c r="H15" i="5" s="1"/>
  <c r="F14" i="5"/>
  <c r="E14" i="5"/>
  <c r="G14" i="5" s="1"/>
  <c r="H14" i="5" s="1"/>
  <c r="F13" i="5"/>
  <c r="E13" i="5"/>
  <c r="G13" i="5" s="1"/>
  <c r="H13" i="5" s="1"/>
  <c r="F12" i="5"/>
  <c r="E12" i="5"/>
  <c r="G12" i="5" s="1"/>
  <c r="H12" i="5" s="1"/>
  <c r="F11" i="5"/>
  <c r="E11" i="5"/>
  <c r="G11" i="5" s="1"/>
  <c r="H11" i="5" s="1"/>
  <c r="F10" i="5"/>
  <c r="E10" i="5"/>
  <c r="G10" i="5" s="1"/>
  <c r="H10" i="5" s="1"/>
  <c r="F9" i="5"/>
  <c r="E9" i="5"/>
  <c r="G9" i="5" s="1"/>
  <c r="H9" i="5" s="1"/>
  <c r="F8" i="5"/>
  <c r="E8" i="5"/>
  <c r="G8" i="5" s="1"/>
  <c r="H8" i="5" s="1"/>
  <c r="F7" i="5"/>
  <c r="E7" i="5"/>
  <c r="G7" i="5" s="1"/>
  <c r="H7" i="5" s="1"/>
  <c r="F6" i="5"/>
  <c r="E6" i="5"/>
  <c r="G6" i="5" s="1"/>
  <c r="H6" i="5" s="1"/>
  <c r="E5" i="5"/>
  <c r="E4" i="5"/>
  <c r="H22" i="6"/>
  <c r="F22" i="6"/>
  <c r="E22" i="6"/>
  <c r="F21" i="6"/>
  <c r="E21" i="6"/>
  <c r="G21" i="6" s="1"/>
  <c r="H21" i="6" s="1"/>
  <c r="F20" i="6"/>
  <c r="E20" i="6"/>
  <c r="G20" i="6" s="1"/>
  <c r="H20" i="6" s="1"/>
  <c r="F19" i="6"/>
  <c r="E19" i="6"/>
  <c r="G19" i="6" s="1"/>
  <c r="H19" i="6" s="1"/>
  <c r="F18" i="6"/>
  <c r="E18" i="6"/>
  <c r="G18" i="6" s="1"/>
  <c r="H18" i="6" s="1"/>
  <c r="F17" i="6"/>
  <c r="E17" i="6"/>
  <c r="G17" i="6" s="1"/>
  <c r="H17" i="6" s="1"/>
  <c r="F16" i="6"/>
  <c r="E16" i="6"/>
  <c r="G16" i="6" s="1"/>
  <c r="H16" i="6" s="1"/>
  <c r="F15" i="6"/>
  <c r="E15" i="6"/>
  <c r="G15" i="6" s="1"/>
  <c r="H15" i="6" s="1"/>
  <c r="F14" i="6"/>
  <c r="E14" i="6"/>
  <c r="G14" i="6" s="1"/>
  <c r="H14" i="6" s="1"/>
  <c r="F13" i="6"/>
  <c r="E13" i="6"/>
  <c r="G13" i="6" s="1"/>
  <c r="H13" i="6" s="1"/>
  <c r="F12" i="6"/>
  <c r="E12" i="6"/>
  <c r="G12" i="6" s="1"/>
  <c r="H12" i="6" s="1"/>
  <c r="F11" i="6"/>
  <c r="E11" i="6"/>
  <c r="G11" i="6" s="1"/>
  <c r="H11" i="6" s="1"/>
  <c r="F10" i="6"/>
  <c r="E10" i="6"/>
  <c r="G10" i="6" s="1"/>
  <c r="H10" i="6" s="1"/>
  <c r="F9" i="6"/>
  <c r="E9" i="6"/>
  <c r="G9" i="6" s="1"/>
  <c r="H9" i="6" s="1"/>
  <c r="F8" i="6"/>
  <c r="E8" i="6"/>
  <c r="G8" i="6" s="1"/>
  <c r="H8" i="6" s="1"/>
  <c r="F7" i="6"/>
  <c r="E7" i="6"/>
  <c r="G7" i="6" s="1"/>
  <c r="H7" i="6" s="1"/>
  <c r="F6" i="6"/>
  <c r="E6" i="6"/>
  <c r="G6" i="6" s="1"/>
  <c r="H6" i="6" s="1"/>
  <c r="E5" i="6"/>
  <c r="E4" i="6"/>
  <c r="H22" i="4"/>
  <c r="F22" i="4"/>
  <c r="E22" i="4"/>
  <c r="F21" i="4"/>
  <c r="E21" i="4"/>
  <c r="G21" i="4" s="1"/>
  <c r="H21" i="4" s="1"/>
  <c r="F20" i="4"/>
  <c r="E20" i="4"/>
  <c r="G20" i="4" s="1"/>
  <c r="H20" i="4" s="1"/>
  <c r="F19" i="4"/>
  <c r="E19" i="4"/>
  <c r="G19" i="4" s="1"/>
  <c r="H19" i="4" s="1"/>
  <c r="F18" i="4"/>
  <c r="E18" i="4"/>
  <c r="G18" i="4" s="1"/>
  <c r="H18" i="4" s="1"/>
  <c r="F17" i="4"/>
  <c r="E17" i="4"/>
  <c r="G17" i="4" s="1"/>
  <c r="H17" i="4" s="1"/>
  <c r="F16" i="4"/>
  <c r="E16" i="4"/>
  <c r="G16" i="4" s="1"/>
  <c r="H16" i="4" s="1"/>
  <c r="F15" i="4"/>
  <c r="E15" i="4"/>
  <c r="G15" i="4" s="1"/>
  <c r="H15" i="4" s="1"/>
  <c r="F14" i="4"/>
  <c r="E14" i="4"/>
  <c r="G14" i="4" s="1"/>
  <c r="H14" i="4" s="1"/>
  <c r="F13" i="4"/>
  <c r="E13" i="4"/>
  <c r="G13" i="4" s="1"/>
  <c r="H13" i="4" s="1"/>
  <c r="F12" i="4"/>
  <c r="E12" i="4"/>
  <c r="G12" i="4" s="1"/>
  <c r="H12" i="4" s="1"/>
  <c r="F11" i="4"/>
  <c r="E11" i="4"/>
  <c r="G11" i="4" s="1"/>
  <c r="H11" i="4" s="1"/>
  <c r="F10" i="4"/>
  <c r="E10" i="4"/>
  <c r="G10" i="4" s="1"/>
  <c r="H10" i="4" s="1"/>
  <c r="F9" i="4"/>
  <c r="E9" i="4"/>
  <c r="G9" i="4" s="1"/>
  <c r="H9" i="4" s="1"/>
  <c r="F8" i="4"/>
  <c r="E8" i="4"/>
  <c r="G8" i="4" s="1"/>
  <c r="H8" i="4" s="1"/>
  <c r="F7" i="4"/>
  <c r="E7" i="4"/>
  <c r="G7" i="4" s="1"/>
  <c r="H7" i="4" s="1"/>
  <c r="F6" i="4"/>
  <c r="E6" i="4"/>
  <c r="G6" i="4" s="1"/>
  <c r="H6" i="4" s="1"/>
  <c r="E5" i="4"/>
  <c r="E4" i="4"/>
  <c r="H22" i="3"/>
  <c r="F22" i="3"/>
  <c r="E22" i="3"/>
  <c r="F21" i="3"/>
  <c r="E21" i="3"/>
  <c r="G21" i="3" s="1"/>
  <c r="H21" i="3" s="1"/>
  <c r="F20" i="3"/>
  <c r="E20" i="3"/>
  <c r="G20" i="3" s="1"/>
  <c r="H20" i="3" s="1"/>
  <c r="F19" i="3"/>
  <c r="E19" i="3"/>
  <c r="G19" i="3" s="1"/>
  <c r="H19" i="3" s="1"/>
  <c r="F18" i="3"/>
  <c r="E18" i="3"/>
  <c r="G18" i="3" s="1"/>
  <c r="H18" i="3" s="1"/>
  <c r="F17" i="3"/>
  <c r="E17" i="3"/>
  <c r="G17" i="3" s="1"/>
  <c r="H17" i="3" s="1"/>
  <c r="F16" i="3"/>
  <c r="E16" i="3"/>
  <c r="G16" i="3" s="1"/>
  <c r="H16" i="3" s="1"/>
  <c r="F15" i="3"/>
  <c r="E15" i="3"/>
  <c r="G15" i="3" s="1"/>
  <c r="H15" i="3" s="1"/>
  <c r="F14" i="3"/>
  <c r="E14" i="3"/>
  <c r="G14" i="3" s="1"/>
  <c r="H14" i="3" s="1"/>
  <c r="F13" i="3"/>
  <c r="E13" i="3"/>
  <c r="G13" i="3" s="1"/>
  <c r="H13" i="3" s="1"/>
  <c r="F12" i="3"/>
  <c r="E12" i="3"/>
  <c r="G12" i="3" s="1"/>
  <c r="H12" i="3" s="1"/>
  <c r="F11" i="3"/>
  <c r="E11" i="3"/>
  <c r="G11" i="3" s="1"/>
  <c r="H11" i="3" s="1"/>
  <c r="F10" i="3"/>
  <c r="E10" i="3"/>
  <c r="G10" i="3" s="1"/>
  <c r="H10" i="3" s="1"/>
  <c r="F9" i="3"/>
  <c r="E9" i="3"/>
  <c r="G9" i="3" s="1"/>
  <c r="H9" i="3" s="1"/>
  <c r="F8" i="3"/>
  <c r="E8" i="3"/>
  <c r="G8" i="3" s="1"/>
  <c r="H8" i="3" s="1"/>
  <c r="F7" i="3"/>
  <c r="E7" i="3"/>
  <c r="G7" i="3" s="1"/>
  <c r="H7" i="3" s="1"/>
  <c r="F6" i="3"/>
  <c r="E6" i="3"/>
  <c r="E5" i="3"/>
  <c r="E4" i="3"/>
  <c r="E22" i="2"/>
  <c r="H22" i="2"/>
  <c r="F22" i="2"/>
  <c r="F21" i="2"/>
  <c r="E21" i="2"/>
  <c r="G21" i="2" s="1"/>
  <c r="H21" i="2" s="1"/>
  <c r="F20" i="2"/>
  <c r="E20" i="2"/>
  <c r="G20" i="2" s="1"/>
  <c r="H20" i="2" s="1"/>
  <c r="F19" i="2"/>
  <c r="E19" i="2"/>
  <c r="G19" i="2" s="1"/>
  <c r="H19" i="2" s="1"/>
  <c r="F18" i="2"/>
  <c r="E18" i="2"/>
  <c r="G18" i="2" s="1"/>
  <c r="H18" i="2" s="1"/>
  <c r="F17" i="2"/>
  <c r="E17" i="2"/>
  <c r="G17" i="2" s="1"/>
  <c r="H17" i="2" s="1"/>
  <c r="F16" i="2"/>
  <c r="E16" i="2"/>
  <c r="G16" i="2" s="1"/>
  <c r="H16" i="2" s="1"/>
  <c r="F15" i="2"/>
  <c r="E15" i="2"/>
  <c r="G15" i="2" s="1"/>
  <c r="H15" i="2" s="1"/>
  <c r="F14" i="2"/>
  <c r="E14" i="2"/>
  <c r="G14" i="2" s="1"/>
  <c r="H14" i="2" s="1"/>
  <c r="F13" i="2"/>
  <c r="E13" i="2"/>
  <c r="G13" i="2" s="1"/>
  <c r="H13" i="2" s="1"/>
  <c r="F12" i="2"/>
  <c r="E12" i="2"/>
  <c r="G12" i="2" s="1"/>
  <c r="H12" i="2" s="1"/>
  <c r="F11" i="2"/>
  <c r="E11" i="2"/>
  <c r="G11" i="2" s="1"/>
  <c r="H11" i="2" s="1"/>
  <c r="F10" i="2"/>
  <c r="E10" i="2"/>
  <c r="G10" i="2" s="1"/>
  <c r="H10" i="2" s="1"/>
  <c r="F9" i="2"/>
  <c r="E9" i="2"/>
  <c r="G9" i="2" s="1"/>
  <c r="H9" i="2" s="1"/>
  <c r="F8" i="2"/>
  <c r="E8" i="2"/>
  <c r="G8" i="2" s="1"/>
  <c r="H8" i="2" s="1"/>
  <c r="F7" i="2"/>
  <c r="E7" i="2"/>
  <c r="G7" i="2" s="1"/>
  <c r="H7" i="2" s="1"/>
  <c r="F6" i="2"/>
  <c r="E6" i="2"/>
  <c r="G6" i="2" s="1"/>
  <c r="H6" i="2" s="1"/>
  <c r="E5" i="2"/>
  <c r="E4" i="2"/>
  <c r="E6" i="1"/>
  <c r="G6" i="1" s="1"/>
  <c r="H6" i="1" s="1"/>
  <c r="H22" i="1"/>
  <c r="F22" i="1"/>
  <c r="E22" i="1"/>
  <c r="F21" i="1"/>
  <c r="E21" i="1"/>
  <c r="G21" i="1" s="1"/>
  <c r="H21" i="1" s="1"/>
  <c r="F20" i="1"/>
  <c r="E20" i="1"/>
  <c r="G20" i="1" s="1"/>
  <c r="H20" i="1" s="1"/>
  <c r="F19" i="1"/>
  <c r="E19" i="1"/>
  <c r="G19" i="1" s="1"/>
  <c r="H19" i="1" s="1"/>
  <c r="F18" i="1"/>
  <c r="E18" i="1"/>
  <c r="G18" i="1" s="1"/>
  <c r="H18" i="1" s="1"/>
  <c r="F17" i="1"/>
  <c r="E17" i="1"/>
  <c r="G17" i="1" s="1"/>
  <c r="H17" i="1" s="1"/>
  <c r="F16" i="1"/>
  <c r="E16" i="1"/>
  <c r="G16" i="1" s="1"/>
  <c r="H16" i="1" s="1"/>
  <c r="F15" i="1"/>
  <c r="E15" i="1"/>
  <c r="G15" i="1" s="1"/>
  <c r="H15" i="1" s="1"/>
  <c r="F14" i="1"/>
  <c r="E14" i="1"/>
  <c r="G14" i="1" s="1"/>
  <c r="H14" i="1" s="1"/>
  <c r="F13" i="1"/>
  <c r="E13" i="1"/>
  <c r="G13" i="1" s="1"/>
  <c r="H13" i="1" s="1"/>
  <c r="F12" i="1"/>
  <c r="E12" i="1"/>
  <c r="G12" i="1" s="1"/>
  <c r="H12" i="1" s="1"/>
  <c r="F11" i="1"/>
  <c r="E11" i="1"/>
  <c r="G11" i="1" s="1"/>
  <c r="H11" i="1" s="1"/>
  <c r="F10" i="1"/>
  <c r="E10" i="1"/>
  <c r="G10" i="1" s="1"/>
  <c r="H10" i="1" s="1"/>
  <c r="F9" i="1"/>
  <c r="E9" i="1"/>
  <c r="G9" i="1" s="1"/>
  <c r="H9" i="1" s="1"/>
  <c r="F8" i="1"/>
  <c r="E8" i="1"/>
  <c r="G8" i="1" s="1"/>
  <c r="H8" i="1" s="1"/>
  <c r="F7" i="1"/>
  <c r="E7" i="1"/>
  <c r="G7" i="1" s="1"/>
  <c r="H7" i="1" s="1"/>
  <c r="F6" i="1"/>
  <c r="E5" i="1"/>
  <c r="E4" i="1"/>
  <c r="G6" i="3" l="1"/>
  <c r="H6" i="3" s="1"/>
  <c r="G21" i="5"/>
  <c r="H21" i="5" s="1"/>
  <c r="F5" i="5"/>
  <c r="G5" i="5" s="1"/>
  <c r="H5" i="5" s="1"/>
  <c r="F4" i="5"/>
  <c r="G4" i="5" s="1"/>
  <c r="F5" i="6"/>
  <c r="G5" i="6" s="1"/>
  <c r="H5" i="6" s="1"/>
  <c r="F4" i="6"/>
  <c r="G4" i="6" s="1"/>
  <c r="F5" i="4"/>
  <c r="G5" i="4" s="1"/>
  <c r="H5" i="4" s="1"/>
  <c r="F4" i="4"/>
  <c r="G4" i="4" s="1"/>
  <c r="F5" i="3"/>
  <c r="G5" i="3" s="1"/>
  <c r="H5" i="3" s="1"/>
  <c r="F4" i="3"/>
  <c r="G4" i="3" s="1"/>
  <c r="F5" i="2"/>
  <c r="G5" i="2" s="1"/>
  <c r="H5" i="2" s="1"/>
  <c r="F4" i="2"/>
  <c r="G4" i="2" s="1"/>
  <c r="F5" i="1"/>
  <c r="G5" i="1" s="1"/>
  <c r="H5" i="1" s="1"/>
  <c r="F4" i="1"/>
  <c r="G4" i="1" s="1"/>
  <c r="H4" i="5" l="1"/>
  <c r="I5" i="5" s="1"/>
  <c r="J4" i="5"/>
  <c r="H4" i="6"/>
  <c r="I5" i="6" s="1"/>
  <c r="J4" i="6"/>
  <c r="J4" i="4"/>
  <c r="H4" i="4"/>
  <c r="I5" i="4" s="1"/>
  <c r="J4" i="3"/>
  <c r="H4" i="3"/>
  <c r="I5" i="3" s="1"/>
  <c r="H4" i="2"/>
  <c r="I5" i="2" s="1"/>
  <c r="J4" i="2"/>
  <c r="H4" i="1"/>
  <c r="I5" i="1" s="1"/>
  <c r="J4" i="1"/>
  <c r="J5" i="5" l="1"/>
  <c r="I6" i="5"/>
  <c r="K4" i="5"/>
  <c r="J5" i="6"/>
  <c r="I6" i="6"/>
  <c r="K4" i="6"/>
  <c r="K4" i="4"/>
  <c r="J5" i="4"/>
  <c r="I6" i="4"/>
  <c r="K4" i="3"/>
  <c r="J5" i="3"/>
  <c r="I6" i="3"/>
  <c r="J5" i="2"/>
  <c r="I6" i="2"/>
  <c r="K4" i="2"/>
  <c r="I6" i="1"/>
  <c r="K4" i="1"/>
  <c r="J5" i="1"/>
  <c r="J6" i="5" l="1"/>
  <c r="I7" i="5"/>
  <c r="K5" i="5"/>
  <c r="J6" i="6"/>
  <c r="I7" i="6"/>
  <c r="K5" i="6"/>
  <c r="I7" i="4"/>
  <c r="J6" i="4"/>
  <c r="K5" i="4"/>
  <c r="J6" i="3"/>
  <c r="K5" i="3"/>
  <c r="I7" i="3"/>
  <c r="J6" i="2"/>
  <c r="I7" i="2"/>
  <c r="K5" i="2"/>
  <c r="J6" i="1"/>
  <c r="I7" i="1"/>
  <c r="K5" i="1"/>
  <c r="J7" i="5" l="1"/>
  <c r="I8" i="5"/>
  <c r="K6" i="5"/>
  <c r="J7" i="6"/>
  <c r="I8" i="6"/>
  <c r="K6" i="6"/>
  <c r="J7" i="4"/>
  <c r="I8" i="4"/>
  <c r="K6" i="4"/>
  <c r="J7" i="3"/>
  <c r="I8" i="3"/>
  <c r="K6" i="3"/>
  <c r="J7" i="2"/>
  <c r="I8" i="2"/>
  <c r="K6" i="2"/>
  <c r="K6" i="1"/>
  <c r="J7" i="1"/>
  <c r="I8" i="1"/>
  <c r="J8" i="5" l="1"/>
  <c r="I9" i="5"/>
  <c r="K7" i="5"/>
  <c r="K7" i="6"/>
  <c r="J8" i="6"/>
  <c r="I9" i="6"/>
  <c r="K7" i="4"/>
  <c r="J8" i="4"/>
  <c r="I9" i="4"/>
  <c r="J8" i="3"/>
  <c r="I9" i="3"/>
  <c r="K7" i="3"/>
  <c r="J8" i="2"/>
  <c r="I9" i="2"/>
  <c r="K7" i="2"/>
  <c r="K7" i="1"/>
  <c r="J8" i="1"/>
  <c r="I9" i="1"/>
  <c r="I10" i="5" l="1"/>
  <c r="J9" i="5"/>
  <c r="K8" i="5"/>
  <c r="J9" i="6"/>
  <c r="I10" i="6"/>
  <c r="K8" i="6"/>
  <c r="I10" i="4"/>
  <c r="J9" i="4"/>
  <c r="K8" i="4"/>
  <c r="J9" i="3"/>
  <c r="I10" i="3"/>
  <c r="K8" i="3"/>
  <c r="J9" i="2"/>
  <c r="I10" i="2"/>
  <c r="K8" i="2"/>
  <c r="I10" i="1"/>
  <c r="K8" i="1"/>
  <c r="J9" i="1"/>
  <c r="J10" i="5" l="1"/>
  <c r="I11" i="5"/>
  <c r="K9" i="5"/>
  <c r="J10" i="6"/>
  <c r="I11" i="6"/>
  <c r="K9" i="6"/>
  <c r="J10" i="4"/>
  <c r="K9" i="4"/>
  <c r="I11" i="4"/>
  <c r="J10" i="3"/>
  <c r="I11" i="3"/>
  <c r="K9" i="3"/>
  <c r="J10" i="2"/>
  <c r="I11" i="2"/>
  <c r="K9" i="2"/>
  <c r="I11" i="1"/>
  <c r="J10" i="1"/>
  <c r="K9" i="1"/>
  <c r="J11" i="5" l="1"/>
  <c r="I12" i="5"/>
  <c r="K10" i="5"/>
  <c r="J11" i="6"/>
  <c r="I12" i="6"/>
  <c r="K10" i="6"/>
  <c r="I12" i="4"/>
  <c r="J11" i="4"/>
  <c r="K10" i="4"/>
  <c r="J11" i="3"/>
  <c r="I12" i="3"/>
  <c r="K10" i="3"/>
  <c r="J11" i="2"/>
  <c r="I12" i="2"/>
  <c r="K10" i="2"/>
  <c r="J11" i="1"/>
  <c r="I12" i="1"/>
  <c r="K10" i="1"/>
  <c r="J12" i="5" l="1"/>
  <c r="I13" i="5"/>
  <c r="K11" i="5"/>
  <c r="J12" i="6"/>
  <c r="I13" i="6"/>
  <c r="K11" i="6"/>
  <c r="K11" i="4"/>
  <c r="I13" i="4"/>
  <c r="J12" i="4"/>
  <c r="J12" i="3"/>
  <c r="I13" i="3"/>
  <c r="K11" i="3"/>
  <c r="J12" i="2"/>
  <c r="I13" i="2"/>
  <c r="K11" i="2"/>
  <c r="I13" i="1"/>
  <c r="K11" i="1"/>
  <c r="J12" i="1"/>
  <c r="J13" i="5" l="1"/>
  <c r="I14" i="5"/>
  <c r="K12" i="5"/>
  <c r="J13" i="6"/>
  <c r="I14" i="6"/>
  <c r="K12" i="6"/>
  <c r="I14" i="4"/>
  <c r="J13" i="4"/>
  <c r="K12" i="4"/>
  <c r="J13" i="3"/>
  <c r="K12" i="3"/>
  <c r="I14" i="3"/>
  <c r="J13" i="2"/>
  <c r="I14" i="2"/>
  <c r="K12" i="2"/>
  <c r="J13" i="1"/>
  <c r="I14" i="1"/>
  <c r="K12" i="1"/>
  <c r="J14" i="5" l="1"/>
  <c r="I15" i="5"/>
  <c r="K13" i="5"/>
  <c r="J14" i="6"/>
  <c r="I15" i="6"/>
  <c r="K13" i="6"/>
  <c r="I15" i="4"/>
  <c r="K13" i="4"/>
  <c r="J14" i="4"/>
  <c r="J14" i="3"/>
  <c r="I15" i="3"/>
  <c r="K13" i="3"/>
  <c r="J14" i="2"/>
  <c r="I15" i="2"/>
  <c r="K13" i="2"/>
  <c r="J14" i="1"/>
  <c r="K13" i="1"/>
  <c r="I15" i="1"/>
  <c r="J15" i="5" l="1"/>
  <c r="I16" i="5"/>
  <c r="K14" i="5"/>
  <c r="J15" i="6"/>
  <c r="I16" i="6"/>
  <c r="K14" i="6"/>
  <c r="I16" i="4"/>
  <c r="J15" i="4"/>
  <c r="K14" i="4"/>
  <c r="K14" i="3"/>
  <c r="J15" i="3"/>
  <c r="I16" i="3"/>
  <c r="J15" i="2"/>
  <c r="I16" i="2"/>
  <c r="K14" i="2"/>
  <c r="J15" i="1"/>
  <c r="I16" i="1"/>
  <c r="K14" i="1"/>
  <c r="K15" i="5" l="1"/>
  <c r="J16" i="5"/>
  <c r="I17" i="5"/>
  <c r="J16" i="6"/>
  <c r="I17" i="6"/>
  <c r="K15" i="6"/>
  <c r="I17" i="4"/>
  <c r="J16" i="4"/>
  <c r="K15" i="4"/>
  <c r="I17" i="3"/>
  <c r="K15" i="3"/>
  <c r="J16" i="3"/>
  <c r="J16" i="2"/>
  <c r="I17" i="2"/>
  <c r="K15" i="2"/>
  <c r="I17" i="1"/>
  <c r="K15" i="1"/>
  <c r="J16" i="1"/>
  <c r="I18" i="5" l="1"/>
  <c r="J17" i="5"/>
  <c r="K16" i="5"/>
  <c r="J17" i="6"/>
  <c r="I18" i="6"/>
  <c r="K16" i="6"/>
  <c r="K16" i="4"/>
  <c r="J17" i="4"/>
  <c r="I18" i="4"/>
  <c r="I18" i="3"/>
  <c r="K16" i="3"/>
  <c r="J17" i="3"/>
  <c r="J17" i="2"/>
  <c r="I18" i="2"/>
  <c r="K16" i="2"/>
  <c r="J17" i="1"/>
  <c r="I18" i="1"/>
  <c r="K16" i="1"/>
  <c r="I19" i="5" l="1"/>
  <c r="K17" i="5"/>
  <c r="J18" i="5"/>
  <c r="J18" i="6"/>
  <c r="I19" i="6"/>
  <c r="K17" i="6"/>
  <c r="J18" i="4"/>
  <c r="I19" i="4"/>
  <c r="K17" i="4"/>
  <c r="I19" i="3"/>
  <c r="K17" i="3"/>
  <c r="J18" i="3"/>
  <c r="J18" i="2"/>
  <c r="I19" i="2"/>
  <c r="K17" i="2"/>
  <c r="K17" i="1"/>
  <c r="J18" i="1"/>
  <c r="I19" i="1"/>
  <c r="K18" i="5" l="1"/>
  <c r="J19" i="5"/>
  <c r="I20" i="5"/>
  <c r="J19" i="6"/>
  <c r="I20" i="6"/>
  <c r="K18" i="6"/>
  <c r="I20" i="4"/>
  <c r="J19" i="4"/>
  <c r="K18" i="4"/>
  <c r="K18" i="3"/>
  <c r="J19" i="3"/>
  <c r="I20" i="3"/>
  <c r="K18" i="2"/>
  <c r="J19" i="2"/>
  <c r="I20" i="2"/>
  <c r="K18" i="1"/>
  <c r="J19" i="1"/>
  <c r="I20" i="1"/>
  <c r="I21" i="5" l="1"/>
  <c r="J20" i="5"/>
  <c r="K19" i="5"/>
  <c r="J20" i="6"/>
  <c r="I21" i="6"/>
  <c r="K19" i="6"/>
  <c r="I21" i="4"/>
  <c r="J20" i="4"/>
  <c r="K19" i="4"/>
  <c r="J20" i="3"/>
  <c r="I21" i="3"/>
  <c r="K19" i="3"/>
  <c r="J20" i="2"/>
  <c r="K19" i="2"/>
  <c r="I21" i="2"/>
  <c r="J20" i="1"/>
  <c r="I21" i="1"/>
  <c r="K19" i="1"/>
  <c r="J21" i="5" l="1"/>
  <c r="I22" i="5"/>
  <c r="K20" i="5"/>
  <c r="J21" i="6"/>
  <c r="I22" i="6"/>
  <c r="K20" i="6"/>
  <c r="J21" i="4"/>
  <c r="I22" i="4"/>
  <c r="K20" i="4"/>
  <c r="J21" i="3"/>
  <c r="K20" i="3"/>
  <c r="I22" i="3"/>
  <c r="J21" i="2"/>
  <c r="I22" i="2"/>
  <c r="K20" i="2"/>
  <c r="J21" i="1"/>
  <c r="I22" i="1"/>
  <c r="K20" i="1"/>
  <c r="J22" i="5" l="1"/>
  <c r="K22" i="5"/>
  <c r="L22" i="5"/>
  <c r="M22" i="5" s="1"/>
  <c r="K21" i="5"/>
  <c r="K21" i="6"/>
  <c r="J22" i="6"/>
  <c r="K22" i="6"/>
  <c r="L22" i="6"/>
  <c r="M22" i="6" s="1"/>
  <c r="J22" i="4"/>
  <c r="K22" i="4"/>
  <c r="L22" i="4"/>
  <c r="M22" i="4" s="1"/>
  <c r="K21" i="4"/>
  <c r="L21" i="4" s="1"/>
  <c r="J22" i="3"/>
  <c r="L22" i="3"/>
  <c r="M22" i="3" s="1"/>
  <c r="K21" i="3"/>
  <c r="K22" i="3"/>
  <c r="J22" i="2"/>
  <c r="K22" i="2"/>
  <c r="L22" i="2"/>
  <c r="M22" i="2" s="1"/>
  <c r="K21" i="2"/>
  <c r="L22" i="1"/>
  <c r="M22" i="1" s="1"/>
  <c r="K22" i="1"/>
  <c r="K21" i="1"/>
  <c r="L21" i="1" s="1"/>
  <c r="J22" i="1"/>
  <c r="L21" i="5" l="1"/>
  <c r="L21" i="6"/>
  <c r="L20" i="4"/>
  <c r="M21" i="4"/>
  <c r="L21" i="3"/>
  <c r="L21" i="2"/>
  <c r="L20" i="1"/>
  <c r="M21" i="1"/>
  <c r="L20" i="5" l="1"/>
  <c r="M21" i="5"/>
  <c r="M21" i="6"/>
  <c r="L20" i="6"/>
  <c r="M20" i="4"/>
  <c r="L19" i="4"/>
  <c r="M21" i="3"/>
  <c r="L20" i="3"/>
  <c r="M21" i="2"/>
  <c r="L20" i="2"/>
  <c r="M20" i="1"/>
  <c r="L19" i="1"/>
  <c r="L19" i="5" l="1"/>
  <c r="M20" i="5"/>
  <c r="M19" i="5"/>
  <c r="L18" i="5"/>
  <c r="M20" i="6"/>
  <c r="L19" i="6"/>
  <c r="M19" i="4"/>
  <c r="L18" i="4"/>
  <c r="L19" i="3"/>
  <c r="M20" i="3"/>
  <c r="M20" i="2"/>
  <c r="L19" i="2"/>
  <c r="M19" i="1"/>
  <c r="L18" i="1"/>
  <c r="M18" i="5" l="1"/>
  <c r="L17" i="5"/>
  <c r="M19" i="6"/>
  <c r="L18" i="6"/>
  <c r="M19" i="3"/>
  <c r="L18" i="3"/>
  <c r="M18" i="3" s="1"/>
  <c r="M18" i="4"/>
  <c r="L17" i="4"/>
  <c r="L18" i="2"/>
  <c r="M19" i="2"/>
  <c r="M18" i="2"/>
  <c r="L17" i="2"/>
  <c r="M18" i="1"/>
  <c r="L17" i="1"/>
  <c r="L17" i="3" l="1"/>
  <c r="M17" i="3" s="1"/>
  <c r="M17" i="5"/>
  <c r="L16" i="5"/>
  <c r="M18" i="6"/>
  <c r="L17" i="6"/>
  <c r="M17" i="4"/>
  <c r="L16" i="4"/>
  <c r="M17" i="2"/>
  <c r="L16" i="2"/>
  <c r="M17" i="1"/>
  <c r="L16" i="1"/>
  <c r="L16" i="3" l="1"/>
  <c r="M16" i="3" s="1"/>
  <c r="M16" i="5"/>
  <c r="L15" i="5"/>
  <c r="M17" i="6"/>
  <c r="L16" i="6"/>
  <c r="M16" i="4"/>
  <c r="L15" i="4"/>
  <c r="L15" i="3"/>
  <c r="M16" i="2"/>
  <c r="L15" i="2"/>
  <c r="M16" i="1"/>
  <c r="L15" i="1"/>
  <c r="M15" i="5" l="1"/>
  <c r="L14" i="5"/>
  <c r="M16" i="6"/>
  <c r="L15" i="6"/>
  <c r="M15" i="4"/>
  <c r="L14" i="4"/>
  <c r="M15" i="3"/>
  <c r="L14" i="3"/>
  <c r="M15" i="2"/>
  <c r="L14" i="2"/>
  <c r="M15" i="1"/>
  <c r="L14" i="1"/>
  <c r="M14" i="5" l="1"/>
  <c r="L13" i="5"/>
  <c r="M15" i="6"/>
  <c r="L14" i="6"/>
  <c r="M14" i="4"/>
  <c r="L13" i="4"/>
  <c r="M14" i="3"/>
  <c r="L13" i="3"/>
  <c r="M14" i="2"/>
  <c r="L13" i="2"/>
  <c r="M14" i="1"/>
  <c r="L13" i="1"/>
  <c r="M13" i="5" l="1"/>
  <c r="L12" i="5"/>
  <c r="M14" i="6"/>
  <c r="L13" i="6"/>
  <c r="M13" i="4"/>
  <c r="L12" i="4"/>
  <c r="M13" i="3"/>
  <c r="L12" i="3"/>
  <c r="M13" i="2"/>
  <c r="L12" i="2"/>
  <c r="M13" i="1"/>
  <c r="L12" i="1"/>
  <c r="M12" i="5" l="1"/>
  <c r="L11" i="5"/>
  <c r="M13" i="6"/>
  <c r="L12" i="6"/>
  <c r="M12" i="4"/>
  <c r="L11" i="4"/>
  <c r="M12" i="3"/>
  <c r="L11" i="3"/>
  <c r="M12" i="2"/>
  <c r="L11" i="2"/>
  <c r="M12" i="1"/>
  <c r="L11" i="1"/>
  <c r="M11" i="5" l="1"/>
  <c r="L10" i="5"/>
  <c r="M12" i="6"/>
  <c r="L11" i="6"/>
  <c r="M11" i="4"/>
  <c r="L10" i="4"/>
  <c r="M11" i="3"/>
  <c r="L10" i="3"/>
  <c r="M11" i="2"/>
  <c r="L10" i="2"/>
  <c r="M11" i="1"/>
  <c r="L10" i="1"/>
  <c r="M10" i="5" l="1"/>
  <c r="L9" i="5"/>
  <c r="M11" i="6"/>
  <c r="L10" i="6"/>
  <c r="M10" i="4"/>
  <c r="L9" i="4"/>
  <c r="M10" i="3"/>
  <c r="L9" i="3"/>
  <c r="M10" i="2"/>
  <c r="L9" i="2"/>
  <c r="M10" i="1"/>
  <c r="L9" i="1"/>
  <c r="M9" i="5" l="1"/>
  <c r="L8" i="5"/>
  <c r="M10" i="6"/>
  <c r="L9" i="6"/>
  <c r="M9" i="4"/>
  <c r="L8" i="4"/>
  <c r="M9" i="3"/>
  <c r="L8" i="3"/>
  <c r="M9" i="2"/>
  <c r="L8" i="2"/>
  <c r="M9" i="1"/>
  <c r="L8" i="1"/>
  <c r="M8" i="5" l="1"/>
  <c r="L7" i="5"/>
  <c r="M9" i="6"/>
  <c r="L8" i="6"/>
  <c r="M8" i="4"/>
  <c r="L7" i="4"/>
  <c r="M8" i="3"/>
  <c r="L7" i="3"/>
  <c r="M8" i="2"/>
  <c r="L7" i="2"/>
  <c r="M8" i="1"/>
  <c r="L7" i="1"/>
  <c r="M7" i="5" l="1"/>
  <c r="L6" i="5"/>
  <c r="M8" i="6"/>
  <c r="L7" i="6"/>
  <c r="M7" i="4"/>
  <c r="L6" i="4"/>
  <c r="M7" i="3"/>
  <c r="L6" i="3"/>
  <c r="M7" i="2"/>
  <c r="L6" i="2"/>
  <c r="M7" i="1"/>
  <c r="L6" i="1"/>
  <c r="M6" i="5" l="1"/>
  <c r="L5" i="5"/>
  <c r="M7" i="6"/>
  <c r="L6" i="6"/>
  <c r="M6" i="4"/>
  <c r="L5" i="4"/>
  <c r="M6" i="3"/>
  <c r="L5" i="3"/>
  <c r="M6" i="2"/>
  <c r="L5" i="2"/>
  <c r="M6" i="1"/>
  <c r="L5" i="1"/>
  <c r="M5" i="5" l="1"/>
  <c r="L4" i="5"/>
  <c r="M4" i="5" s="1"/>
  <c r="M6" i="6"/>
  <c r="L5" i="6"/>
  <c r="M5" i="4"/>
  <c r="L4" i="4"/>
  <c r="M4" i="4" s="1"/>
  <c r="M5" i="3"/>
  <c r="L4" i="3"/>
  <c r="M4" i="3" s="1"/>
  <c r="M5" i="2"/>
  <c r="L4" i="2"/>
  <c r="M4" i="2" s="1"/>
  <c r="M5" i="1"/>
  <c r="L4" i="1"/>
  <c r="M4" i="1" s="1"/>
  <c r="M5" i="6" l="1"/>
  <c r="L4" i="6"/>
  <c r="M4" i="6" s="1"/>
</calcChain>
</file>

<file path=xl/sharedStrings.xml><?xml version="1.0" encoding="utf-8"?>
<sst xmlns="http://schemas.openxmlformats.org/spreadsheetml/2006/main" count="84" uniqueCount="19">
  <si>
    <t>x (edad)</t>
  </si>
  <si>
    <t>n</t>
  </si>
  <si>
    <t>85+</t>
  </si>
  <si>
    <t>Puebla: tabla de mortalidad masculina, 2010</t>
  </si>
  <si>
    <t>Puebla: tabla de mortalidad femenina, 2010</t>
  </si>
  <si>
    <t>Puebla: tabla de mortalidad masculina, 2019</t>
  </si>
  <si>
    <t>Puebla: tabla de mortalidad femenina, 2019</t>
  </si>
  <si>
    <t>Puebla: tabla de mortalidad femenina, 2021</t>
  </si>
  <si>
    <t>Puebla: tabla de mortalidad masculina, 2021</t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</si>
  <si>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N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</si>
  <si>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D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</si>
  <si>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m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</si>
  <si>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a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</si>
  <si>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q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</si>
  <si>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p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</si>
  <si>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t>l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</si>
  <si>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d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</si>
  <si>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L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</si>
  <si>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t>T</t>
    </r>
    <r>
      <rPr>
        <b/>
        <vertAlign val="subscript"/>
        <sz val="11"/>
        <color theme="0"/>
        <rFont val="Aptos Narrow"/>
        <family val="2"/>
        <scheme val="minor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</si>
</sst>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</font>
    <font>
      <b/>
      <sz val="11"/>
      <color theme="0"/>
      <name val="Aptos Narrow"/>
      <family val="2"/>
      <scheme val="minor"/>
    </font>
    <font>
      <b/>
      <vertAlign val="subscript"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0" fillId="0" borderId="2" xfId="0" quotePrefix="1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652A63F-BC6A-4ED9-B462-1639F544C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219075</xdr:colOff>
      <xdr:row>2</xdr:row>
      <xdr:rowOff>19050</xdr:rowOff>
    </xdr:from>
    <xdr:ext cx="169277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EB2F093-59E0-405C-B662-EE3A0439A785}"/>
                </a:ext>
              </a:extLst>
            </xdr:cNvPr>
            <xdr:cNvSpPr txBox="1"/>
          </xdr:nvSpPr>
          <xdr:spPr>
            <a:xfrm>
              <a:off x="9710316" y="385582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EB2F093-59E0-405C-B662-EE3A0439A785}"/>
                </a:ext>
              </a:extLst>
            </xdr:cNvPr>
            <xdr:cNvSpPr txBox="1"/>
          </xdr:nvSpPr>
          <xdr:spPr>
            <a:xfrm>
              <a:off x="9710316" y="385582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𝑒_𝑥^0</a:t>
              </a:r>
              <a:endParaRPr lang="en-US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219075</xdr:colOff>
      <xdr:row>2</xdr:row>
      <xdr:rowOff>19050</xdr:rowOff>
    </xdr:from>
    <xdr:ext cx="169277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093B0E7-250C-4233-B7AF-FFA5690C80FA}"/>
                </a:ext>
              </a:extLst>
            </xdr:cNvPr>
            <xdr:cNvSpPr txBox="1"/>
          </xdr:nvSpPr>
          <xdr:spPr>
            <a:xfrm>
              <a:off x="9728835" y="38481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093B0E7-250C-4233-B7AF-FFA5690C80FA}"/>
                </a:ext>
              </a:extLst>
            </xdr:cNvPr>
            <xdr:cNvSpPr txBox="1"/>
          </xdr:nvSpPr>
          <xdr:spPr>
            <a:xfrm>
              <a:off x="9728835" y="38481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𝑒_𝑥^0</a:t>
              </a:r>
              <a:endParaRPr lang="en-US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219075</xdr:colOff>
      <xdr:row>2</xdr:row>
      <xdr:rowOff>19050</xdr:rowOff>
    </xdr:from>
    <xdr:ext cx="169277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2B95431-A932-4236-9972-E836EA530906}"/>
                </a:ext>
              </a:extLst>
            </xdr:cNvPr>
            <xdr:cNvSpPr txBox="1"/>
          </xdr:nvSpPr>
          <xdr:spPr>
            <a:xfrm>
              <a:off x="9728835" y="38481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2B95431-A932-4236-9972-E836EA530906}"/>
                </a:ext>
              </a:extLst>
            </xdr:cNvPr>
            <xdr:cNvSpPr txBox="1"/>
          </xdr:nvSpPr>
          <xdr:spPr>
            <a:xfrm>
              <a:off x="9728835" y="38481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219075</xdr:colOff>
      <xdr:row>2</xdr:row>
      <xdr:rowOff>19050</xdr:rowOff>
    </xdr:from>
    <xdr:ext cx="169277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0F47B7B-E53A-426B-8939-6DCA02C9143D}"/>
                </a:ext>
              </a:extLst>
            </xdr:cNvPr>
            <xdr:cNvSpPr txBox="1"/>
          </xdr:nvSpPr>
          <xdr:spPr>
            <a:xfrm>
              <a:off x="9728835" y="38481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0F47B7B-E53A-426B-8939-6DCA02C9143D}"/>
                </a:ext>
              </a:extLst>
            </xdr:cNvPr>
            <xdr:cNvSpPr txBox="1"/>
          </xdr:nvSpPr>
          <xdr:spPr>
            <a:xfrm>
              <a:off x="9728835" y="38481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219075</xdr:colOff>
      <xdr:row>2</xdr:row>
      <xdr:rowOff>19050</xdr:rowOff>
    </xdr:from>
    <xdr:ext cx="169277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E9344D9-8826-4CED-A545-A175F88E3473}"/>
                </a:ext>
              </a:extLst>
            </xdr:cNvPr>
            <xdr:cNvSpPr txBox="1"/>
          </xdr:nvSpPr>
          <xdr:spPr>
            <a:xfrm>
              <a:off x="9728835" y="38481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E9344D9-8826-4CED-A545-A175F88E3473}"/>
                </a:ext>
              </a:extLst>
            </xdr:cNvPr>
            <xdr:cNvSpPr txBox="1"/>
          </xdr:nvSpPr>
          <xdr:spPr>
            <a:xfrm>
              <a:off x="9728835" y="38481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219075</xdr:colOff>
      <xdr:row>2</xdr:row>
      <xdr:rowOff>19050</xdr:rowOff>
    </xdr:from>
    <xdr:ext cx="17479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A9A724A-76A0-4282-B502-34C6605AD0AE}"/>
                </a:ext>
              </a:extLst>
            </xdr:cNvPr>
            <xdr:cNvSpPr txBox="1"/>
          </xdr:nvSpPr>
          <xdr:spPr>
            <a:xfrm>
              <a:off x="9728835" y="38481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A9A724A-76A0-4282-B502-34C6605AD0AE}"/>
                </a:ext>
              </a:extLst>
            </xdr:cNvPr>
            <xdr:cNvSpPr txBox="1"/>
          </xdr:nvSpPr>
          <xdr:spPr>
            <a:xfrm>
              <a:off x="9728835" y="38481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D391C-4E6D-4210-BA03-78C23897B604}">
  <dimension ref="A1:M22"/>
  <sheetViews>
    <sheetView zoomScale="79" workbookViewId="0">
      <selection activeCell="A3" sqref="A3:M22"/>
    </sheetView>
  </sheetViews>
  <sheetFormatPr baseColWidth="10" defaultRowHeight="13.8"/>
  <cols>
    <col min="1" max="1" width="7.796875" customWidth="1"/>
    <col min="2" max="2" width="6.3984375" customWidth="1"/>
    <col min="3" max="3" width="8.296875" customWidth="1"/>
    <col min="4" max="4" width="5.296875" customWidth="1"/>
    <col min="5" max="5" width="7.3984375" customWidth="1"/>
    <col min="6" max="6" width="7" customWidth="1"/>
    <col min="7" max="7" width="6.69921875" customWidth="1"/>
    <col min="8" max="9" width="9.69921875" customWidth="1"/>
    <col min="10" max="10" width="8.3984375" customWidth="1"/>
    <col min="11" max="11" width="10.19921875" customWidth="1"/>
    <col min="12" max="12" width="9.3984375" customWidth="1"/>
    <col min="13" max="13" width="6.09765625" customWidth="1"/>
  </cols>
  <sheetData>
    <row r="1" spans="1:13">
      <c r="A1" s="16" t="s">
        <v>4</v>
      </c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</row>
    <row r="3" spans="1:13" ht="16.2">
      <c r="A3" s="12" t="s">
        <v>0</v>
      </c>
      <c r="B3" s="12" t="s">
        <v>1</v>
      </c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18</v>
      </c>
      <c r="M3" s="12"/>
    </row>
    <row r="4" spans="1:13">
      <c r="A4" s="3">
        <v>0</v>
      </c>
      <c r="B4" s="3">
        <v>1</v>
      </c>
      <c r="C4" s="8">
        <v>52963</v>
      </c>
      <c r="D4" s="8">
        <v>1001</v>
      </c>
      <c r="E4" s="5">
        <f>D4/C4</f>
        <v>1.8899986783226026E-2</v>
      </c>
      <c r="F4" s="14">
        <f>0.053 + 2.8 * E4</f>
        <v>0.10591996299303287</v>
      </c>
      <c r="G4" s="5">
        <f>(B4*E4)/(1+(B4-F4)*E4)</f>
        <v>1.8585920031537577E-2</v>
      </c>
      <c r="H4" s="5">
        <f>1-G4</f>
        <v>0.98141407996846242</v>
      </c>
      <c r="I4" s="6">
        <v>100000</v>
      </c>
      <c r="J4" s="6">
        <f>I4*G4</f>
        <v>1858.5920031537578</v>
      </c>
      <c r="K4" s="6">
        <f>(B4*I5)+(F4*J4)</f>
        <v>98338.269993039445</v>
      </c>
      <c r="L4" s="6">
        <f>K4+L5</f>
        <v>7650789.1790146278</v>
      </c>
      <c r="M4" s="13">
        <f>L4/I4</f>
        <v>76.507891790146275</v>
      </c>
    </row>
    <row r="5" spans="1:13">
      <c r="A5" s="7">
        <v>1</v>
      </c>
      <c r="B5" s="7">
        <v>4</v>
      </c>
      <c r="C5" s="8">
        <v>54472</v>
      </c>
      <c r="D5" s="4">
        <v>189</v>
      </c>
      <c r="E5" s="5">
        <f t="shared" ref="E5:E22" si="0">D5/C5</f>
        <v>3.4696724922896167E-3</v>
      </c>
      <c r="F5" s="15">
        <f>1.522 - 1.518 * E4</f>
        <v>1.493309820063063</v>
      </c>
      <c r="G5" s="5">
        <f>(B5*E5)/(1+(B5-F5)*E5)</f>
        <v>1.3759022331382684E-2</v>
      </c>
      <c r="H5" s="5">
        <f t="shared" ref="H5:H22" si="1">1-G5</f>
        <v>0.98624097766861729</v>
      </c>
      <c r="I5" s="6">
        <f>I4*H4</f>
        <v>98141.407996846247</v>
      </c>
      <c r="J5" s="6">
        <f t="shared" ref="J5:J22" si="2">I5*G5</f>
        <v>1350.3298242619467</v>
      </c>
      <c r="K5" s="6">
        <f>(B5*I6)+(F5*J5)</f>
        <v>389180.77347723156</v>
      </c>
      <c r="L5" s="6">
        <f>K5+L6</f>
        <v>7552450.909021588</v>
      </c>
      <c r="M5" s="13">
        <f>L5/I5</f>
        <v>76.954784562131863</v>
      </c>
    </row>
    <row r="6" spans="1:13">
      <c r="A6" s="7">
        <v>5</v>
      </c>
      <c r="B6" s="7">
        <v>5</v>
      </c>
      <c r="C6" s="9">
        <v>306264</v>
      </c>
      <c r="D6" s="4">
        <v>80</v>
      </c>
      <c r="E6" s="5">
        <f t="shared" si="0"/>
        <v>2.612125486508372E-4</v>
      </c>
      <c r="F6" s="5">
        <f>B6/2</f>
        <v>2.5</v>
      </c>
      <c r="G6" s="5">
        <f>(B6*E6)/(1+(B6-F6)*E6)</f>
        <v>1.3052103999164667E-3</v>
      </c>
      <c r="H6" s="5">
        <f t="shared" si="1"/>
        <v>0.99869478960008351</v>
      </c>
      <c r="I6" s="6">
        <f t="shared" ref="I6:I21" si="3">I5*H5</f>
        <v>96791.078172584297</v>
      </c>
      <c r="J6" s="6">
        <f t="shared" si="2"/>
        <v>126.33272184998474</v>
      </c>
      <c r="K6" s="6">
        <f>(B6*I7)+(F6*J6)</f>
        <v>483639.55905829644</v>
      </c>
      <c r="L6" s="6">
        <f t="shared" ref="L6:L20" si="4">K6+L7</f>
        <v>7163270.1355443569</v>
      </c>
      <c r="M6" s="13">
        <f t="shared" ref="M6:M22" si="5">L6/I6</f>
        <v>74.007545641467246</v>
      </c>
    </row>
    <row r="7" spans="1:13">
      <c r="A7" s="7">
        <v>10</v>
      </c>
      <c r="B7" s="7">
        <v>5</v>
      </c>
      <c r="C7" s="10">
        <v>299188</v>
      </c>
      <c r="D7" s="4">
        <v>79</v>
      </c>
      <c r="E7" s="5">
        <f t="shared" si="0"/>
        <v>2.6404802331644319E-4</v>
      </c>
      <c r="F7" s="5">
        <f t="shared" ref="F7:F22" si="6">B7/2</f>
        <v>2.5</v>
      </c>
      <c r="G7" s="5">
        <f t="shared" ref="G7:G21" si="7">(B7*E7)/(1+(B7-F7)*E7)</f>
        <v>1.3193691745258204E-3</v>
      </c>
      <c r="H7" s="5">
        <f t="shared" si="1"/>
        <v>0.9986806308254742</v>
      </c>
      <c r="I7" s="6">
        <f t="shared" si="3"/>
        <v>96664.745450734306</v>
      </c>
      <c r="J7" s="6">
        <f t="shared" si="2"/>
        <v>127.53648541108387</v>
      </c>
      <c r="K7" s="6">
        <f t="shared" ref="K7:K19" si="8">(B7*I8)+(F7*J7)</f>
        <v>483004.88604014384</v>
      </c>
      <c r="L7" s="6">
        <f t="shared" si="4"/>
        <v>6679630.5764860604</v>
      </c>
      <c r="M7" s="13">
        <f t="shared" si="5"/>
        <v>69.101000011326462</v>
      </c>
    </row>
    <row r="8" spans="1:13">
      <c r="A8" s="3">
        <v>15</v>
      </c>
      <c r="B8" s="7">
        <v>5</v>
      </c>
      <c r="C8" s="10">
        <v>304996</v>
      </c>
      <c r="D8" s="4">
        <v>158</v>
      </c>
      <c r="E8" s="5">
        <f t="shared" si="0"/>
        <v>5.1803958084696198E-4</v>
      </c>
      <c r="F8" s="5">
        <f t="shared" si="6"/>
        <v>2.5</v>
      </c>
      <c r="G8" s="5">
        <f t="shared" si="7"/>
        <v>2.5868476805144883E-3</v>
      </c>
      <c r="H8" s="5">
        <f t="shared" si="1"/>
        <v>0.99741315231948546</v>
      </c>
      <c r="I8" s="6">
        <f t="shared" si="3"/>
        <v>96537.208965323225</v>
      </c>
      <c r="J8" s="6">
        <f t="shared" si="2"/>
        <v>249.72705509528885</v>
      </c>
      <c r="K8" s="6">
        <f t="shared" si="8"/>
        <v>482061.72718887788</v>
      </c>
      <c r="L8" s="6">
        <f t="shared" si="4"/>
        <v>6196625.6904459167</v>
      </c>
      <c r="M8" s="13">
        <f t="shared" si="5"/>
        <v>64.188987405589728</v>
      </c>
    </row>
    <row r="9" spans="1:13">
      <c r="A9" s="3">
        <v>20</v>
      </c>
      <c r="B9" s="7">
        <v>5</v>
      </c>
      <c r="C9" s="10">
        <v>270498</v>
      </c>
      <c r="D9" s="4">
        <v>127</v>
      </c>
      <c r="E9" s="5">
        <f t="shared" si="0"/>
        <v>4.6950439559627057E-4</v>
      </c>
      <c r="F9" s="5">
        <f t="shared" si="6"/>
        <v>2.5</v>
      </c>
      <c r="G9" s="5">
        <f t="shared" si="7"/>
        <v>2.3447697786869661E-3</v>
      </c>
      <c r="H9" s="5">
        <f t="shared" si="1"/>
        <v>0.99765523022131308</v>
      </c>
      <c r="I9" s="6">
        <f t="shared" si="3"/>
        <v>96287.481910227929</v>
      </c>
      <c r="J9" s="6">
        <f t="shared" si="2"/>
        <v>225.77197764897039</v>
      </c>
      <c r="K9" s="6">
        <f t="shared" si="8"/>
        <v>480872.97960701725</v>
      </c>
      <c r="L9" s="6">
        <f t="shared" si="4"/>
        <v>5714563.963257039</v>
      </c>
      <c r="M9" s="13">
        <f t="shared" si="5"/>
        <v>59.34898129940629</v>
      </c>
    </row>
    <row r="10" spans="1:13">
      <c r="A10" s="3">
        <v>25</v>
      </c>
      <c r="B10" s="7">
        <v>5</v>
      </c>
      <c r="C10" s="10">
        <v>237932</v>
      </c>
      <c r="D10" s="4">
        <v>170</v>
      </c>
      <c r="E10" s="5">
        <f t="shared" si="0"/>
        <v>7.144898542440697E-4</v>
      </c>
      <c r="F10" s="5">
        <f t="shared" si="6"/>
        <v>2.5</v>
      </c>
      <c r="G10" s="5">
        <f t="shared" si="7"/>
        <v>3.5660794522501958E-3</v>
      </c>
      <c r="H10" s="5">
        <f t="shared" si="1"/>
        <v>0.99643392054774982</v>
      </c>
      <c r="I10" s="6">
        <f t="shared" si="3"/>
        <v>96061.70993257896</v>
      </c>
      <c r="J10" s="6">
        <f t="shared" si="2"/>
        <v>342.56368993858837</v>
      </c>
      <c r="K10" s="6">
        <f t="shared" si="8"/>
        <v>479452.14043804834</v>
      </c>
      <c r="L10" s="6">
        <f t="shared" si="4"/>
        <v>5233690.9836500213</v>
      </c>
      <c r="M10" s="13">
        <f t="shared" si="5"/>
        <v>54.482592359882979</v>
      </c>
    </row>
    <row r="11" spans="1:13">
      <c r="A11" s="3">
        <v>30</v>
      </c>
      <c r="B11" s="7">
        <v>5</v>
      </c>
      <c r="C11" s="10">
        <v>227543</v>
      </c>
      <c r="D11" s="4">
        <v>182</v>
      </c>
      <c r="E11" s="5">
        <f t="shared" si="0"/>
        <v>7.9984881978351346E-4</v>
      </c>
      <c r="F11" s="5">
        <f t="shared" si="6"/>
        <v>2.5</v>
      </c>
      <c r="G11" s="5">
        <f t="shared" si="7"/>
        <v>3.9912630812550991E-3</v>
      </c>
      <c r="H11" s="5">
        <f t="shared" si="1"/>
        <v>0.99600873691874492</v>
      </c>
      <c r="I11" s="6">
        <f t="shared" si="3"/>
        <v>95719.146242640374</v>
      </c>
      <c r="J11" s="6">
        <f t="shared" si="2"/>
        <v>382.04029456750828</v>
      </c>
      <c r="K11" s="6">
        <f t="shared" si="8"/>
        <v>477640.63047678315</v>
      </c>
      <c r="L11" s="6">
        <f t="shared" si="4"/>
        <v>4754238.8432119731</v>
      </c>
      <c r="M11" s="13">
        <f t="shared" si="5"/>
        <v>49.668629838803184</v>
      </c>
    </row>
    <row r="12" spans="1:13">
      <c r="A12" s="3">
        <v>35</v>
      </c>
      <c r="B12" s="7">
        <v>5</v>
      </c>
      <c r="C12" s="10">
        <v>212271</v>
      </c>
      <c r="D12" s="4">
        <v>266</v>
      </c>
      <c r="E12" s="5">
        <f t="shared" si="0"/>
        <v>1.2531151217076285E-3</v>
      </c>
      <c r="F12" s="5">
        <f t="shared" si="6"/>
        <v>2.5</v>
      </c>
      <c r="G12" s="5">
        <f t="shared" si="7"/>
        <v>6.2460081902543487E-3</v>
      </c>
      <c r="H12" s="5">
        <f t="shared" si="1"/>
        <v>0.99375399180974566</v>
      </c>
      <c r="I12" s="6">
        <f t="shared" si="3"/>
        <v>95337.105948072873</v>
      </c>
      <c r="J12" s="6">
        <f t="shared" si="2"/>
        <v>595.47634458680977</v>
      </c>
      <c r="K12" s="6">
        <f t="shared" si="8"/>
        <v>475196.83887889731</v>
      </c>
      <c r="L12" s="6">
        <f t="shared" si="4"/>
        <v>4276598.2127351901</v>
      </c>
      <c r="M12" s="13">
        <f t="shared" si="5"/>
        <v>44.857646665554533</v>
      </c>
    </row>
    <row r="13" spans="1:13">
      <c r="A13" s="3">
        <v>40</v>
      </c>
      <c r="B13" s="7">
        <v>5</v>
      </c>
      <c r="C13" s="10">
        <v>177328</v>
      </c>
      <c r="D13" s="4">
        <v>315</v>
      </c>
      <c r="E13" s="5">
        <f t="shared" si="0"/>
        <v>1.7763692141117026E-3</v>
      </c>
      <c r="F13" s="5">
        <f t="shared" si="6"/>
        <v>2.5</v>
      </c>
      <c r="G13" s="5">
        <f t="shared" si="7"/>
        <v>8.8425768672574807E-3</v>
      </c>
      <c r="H13" s="5">
        <f t="shared" si="1"/>
        <v>0.99115742313274247</v>
      </c>
      <c r="I13" s="6">
        <f t="shared" si="3"/>
        <v>94741.629603486057</v>
      </c>
      <c r="J13" s="6">
        <f t="shared" si="2"/>
        <v>837.76014229806231</v>
      </c>
      <c r="K13" s="6">
        <f t="shared" si="8"/>
        <v>471613.74766168511</v>
      </c>
      <c r="L13" s="6">
        <f t="shared" si="4"/>
        <v>3801401.3738562926</v>
      </c>
      <c r="M13" s="13">
        <f t="shared" si="5"/>
        <v>40.123875742542836</v>
      </c>
    </row>
    <row r="14" spans="1:13">
      <c r="A14" s="3">
        <v>45</v>
      </c>
      <c r="B14" s="7">
        <v>5</v>
      </c>
      <c r="C14" s="10">
        <v>150117</v>
      </c>
      <c r="D14" s="4">
        <v>440</v>
      </c>
      <c r="E14" s="5">
        <f t="shared" si="0"/>
        <v>2.9310471165823991E-3</v>
      </c>
      <c r="F14" s="5">
        <f t="shared" si="6"/>
        <v>2.5</v>
      </c>
      <c r="G14" s="5">
        <f t="shared" si="7"/>
        <v>1.4548628791736379E-2</v>
      </c>
      <c r="H14" s="5">
        <f t="shared" si="1"/>
        <v>0.98545137120826365</v>
      </c>
      <c r="I14" s="6">
        <f t="shared" si="3"/>
        <v>93903.869461187991</v>
      </c>
      <c r="J14" s="6">
        <f t="shared" si="2"/>
        <v>1366.1725388984942</v>
      </c>
      <c r="K14" s="6">
        <f t="shared" si="8"/>
        <v>466103.91595869372</v>
      </c>
      <c r="L14" s="6">
        <f t="shared" si="4"/>
        <v>3329787.6261946075</v>
      </c>
      <c r="M14" s="13">
        <f t="shared" si="5"/>
        <v>35.459535856196673</v>
      </c>
    </row>
    <row r="15" spans="1:13">
      <c r="A15" s="3">
        <v>50</v>
      </c>
      <c r="B15" s="7">
        <v>5</v>
      </c>
      <c r="C15" s="10">
        <v>129643</v>
      </c>
      <c r="D15" s="4">
        <v>647</v>
      </c>
      <c r="E15" s="5">
        <f t="shared" si="0"/>
        <v>4.9906281095007058E-3</v>
      </c>
      <c r="F15" s="5">
        <f t="shared" si="6"/>
        <v>2.5</v>
      </c>
      <c r="G15" s="5">
        <f t="shared" si="7"/>
        <v>2.4645647395827381E-2</v>
      </c>
      <c r="H15" s="5">
        <f t="shared" si="1"/>
        <v>0.97535435260417258</v>
      </c>
      <c r="I15" s="6">
        <f t="shared" si="3"/>
        <v>92537.696922289499</v>
      </c>
      <c r="J15" s="6">
        <f t="shared" si="2"/>
        <v>2280.6514491686876</v>
      </c>
      <c r="K15" s="6">
        <f t="shared" si="8"/>
        <v>456986.85598852573</v>
      </c>
      <c r="L15" s="6">
        <f t="shared" si="4"/>
        <v>2863683.7102359137</v>
      </c>
      <c r="M15" s="13">
        <f t="shared" si="5"/>
        <v>30.946131203597524</v>
      </c>
    </row>
    <row r="16" spans="1:13">
      <c r="A16" s="3">
        <v>55</v>
      </c>
      <c r="B16" s="7">
        <v>5</v>
      </c>
      <c r="C16" s="10">
        <v>100712</v>
      </c>
      <c r="D16" s="4">
        <v>777</v>
      </c>
      <c r="E16" s="5">
        <f t="shared" si="0"/>
        <v>7.7150687107792517E-3</v>
      </c>
      <c r="F16" s="5">
        <f t="shared" si="6"/>
        <v>2.5</v>
      </c>
      <c r="G16" s="5">
        <f t="shared" si="7"/>
        <v>3.7845394015849285E-2</v>
      </c>
      <c r="H16" s="5">
        <f t="shared" si="1"/>
        <v>0.9621546059841507</v>
      </c>
      <c r="I16" s="6">
        <f t="shared" si="3"/>
        <v>90257.045473120801</v>
      </c>
      <c r="J16" s="6">
        <f t="shared" si="2"/>
        <v>3415.8134486366826</v>
      </c>
      <c r="K16" s="6">
        <f t="shared" si="8"/>
        <v>442745.69374401221</v>
      </c>
      <c r="L16" s="6">
        <f t="shared" si="4"/>
        <v>2406696.854247388</v>
      </c>
      <c r="M16" s="13">
        <f t="shared" si="5"/>
        <v>26.664919526577233</v>
      </c>
    </row>
    <row r="17" spans="1:13">
      <c r="A17" s="3">
        <v>60</v>
      </c>
      <c r="B17" s="7">
        <v>5</v>
      </c>
      <c r="C17" s="10">
        <v>81524</v>
      </c>
      <c r="D17" s="4">
        <v>925</v>
      </c>
      <c r="E17" s="5">
        <f t="shared" si="0"/>
        <v>1.1346351994504686E-2</v>
      </c>
      <c r="F17" s="5">
        <f t="shared" si="6"/>
        <v>2.5</v>
      </c>
      <c r="G17" s="5">
        <f t="shared" si="7"/>
        <v>5.5166902244249229E-2</v>
      </c>
      <c r="H17" s="5">
        <f t="shared" si="1"/>
        <v>0.94483309775575075</v>
      </c>
      <c r="I17" s="6">
        <f t="shared" si="3"/>
        <v>86841.23202448411</v>
      </c>
      <c r="J17" s="6">
        <f t="shared" si="2"/>
        <v>4790.7617578648806</v>
      </c>
      <c r="K17" s="6">
        <f t="shared" si="8"/>
        <v>422229.25572775834</v>
      </c>
      <c r="L17" s="6">
        <f t="shared" si="4"/>
        <v>1963951.1605033758</v>
      </c>
      <c r="M17" s="13">
        <f t="shared" si="5"/>
        <v>22.615422590384913</v>
      </c>
    </row>
    <row r="18" spans="1:13">
      <c r="A18" s="3">
        <v>65</v>
      </c>
      <c r="B18" s="7">
        <v>5</v>
      </c>
      <c r="C18" s="10">
        <v>62606</v>
      </c>
      <c r="D18" s="9">
        <v>1073</v>
      </c>
      <c r="E18" s="5">
        <f t="shared" si="0"/>
        <v>1.7138932370699293E-2</v>
      </c>
      <c r="F18" s="5">
        <f t="shared" si="6"/>
        <v>2.5</v>
      </c>
      <c r="G18" s="5">
        <f t="shared" si="7"/>
        <v>8.2173736569227343E-2</v>
      </c>
      <c r="H18" s="5">
        <f t="shared" si="1"/>
        <v>0.91782626343077267</v>
      </c>
      <c r="I18" s="6">
        <f t="shared" si="3"/>
        <v>82050.470266619232</v>
      </c>
      <c r="J18" s="6">
        <f t="shared" si="2"/>
        <v>6742.3937290703898</v>
      </c>
      <c r="K18" s="6">
        <f t="shared" si="8"/>
        <v>393396.36701042019</v>
      </c>
      <c r="L18" s="6">
        <f t="shared" si="4"/>
        <v>1541721.9047756174</v>
      </c>
      <c r="M18" s="13">
        <f t="shared" si="5"/>
        <v>18.789921614901939</v>
      </c>
    </row>
    <row r="19" spans="1:13">
      <c r="A19" s="3">
        <v>70</v>
      </c>
      <c r="B19" s="7">
        <v>5</v>
      </c>
      <c r="C19" s="10">
        <v>53277</v>
      </c>
      <c r="D19" s="9">
        <v>1294</v>
      </c>
      <c r="E19" s="5">
        <f t="shared" si="0"/>
        <v>2.4288154363045968E-2</v>
      </c>
      <c r="F19" s="5">
        <f t="shared" si="6"/>
        <v>2.5</v>
      </c>
      <c r="G19" s="5">
        <f t="shared" si="7"/>
        <v>0.11448895809739525</v>
      </c>
      <c r="H19" s="5">
        <f t="shared" si="1"/>
        <v>0.88551104190260477</v>
      </c>
      <c r="I19" s="6">
        <f t="shared" si="3"/>
        <v>75308.076537548841</v>
      </c>
      <c r="J19" s="6">
        <f t="shared" si="2"/>
        <v>8621.9432191028627</v>
      </c>
      <c r="K19" s="6">
        <f t="shared" si="8"/>
        <v>354985.5246399871</v>
      </c>
      <c r="L19" s="6">
        <f t="shared" si="4"/>
        <v>1148325.5377651972</v>
      </c>
      <c r="M19" s="13">
        <f t="shared" si="5"/>
        <v>15.248371629736667</v>
      </c>
    </row>
    <row r="20" spans="1:13">
      <c r="A20" s="3">
        <v>75</v>
      </c>
      <c r="B20" s="7">
        <v>5</v>
      </c>
      <c r="C20" s="10">
        <v>36781</v>
      </c>
      <c r="D20" s="9">
        <v>1657</v>
      </c>
      <c r="E20" s="5">
        <f t="shared" si="0"/>
        <v>4.5050433647807295E-2</v>
      </c>
      <c r="F20" s="5">
        <f t="shared" si="6"/>
        <v>2.5</v>
      </c>
      <c r="G20" s="5">
        <f t="shared" si="7"/>
        <v>0.20245091451122221</v>
      </c>
      <c r="H20" s="5">
        <f t="shared" si="1"/>
        <v>0.79754908548877779</v>
      </c>
      <c r="I20" s="6">
        <f t="shared" si="3"/>
        <v>66686.13331844598</v>
      </c>
      <c r="J20" s="6">
        <f t="shared" si="2"/>
        <v>13500.668675536674</v>
      </c>
      <c r="K20" s="6">
        <f>(B20*I21)+(F20*J20)</f>
        <v>299678.9949033882</v>
      </c>
      <c r="L20" s="6">
        <f t="shared" si="4"/>
        <v>793340.01312521019</v>
      </c>
      <c r="M20" s="13">
        <f t="shared" si="5"/>
        <v>11.89662638463048</v>
      </c>
    </row>
    <row r="21" spans="1:13">
      <c r="A21" s="3">
        <v>80</v>
      </c>
      <c r="B21" s="7">
        <v>5</v>
      </c>
      <c r="C21" s="10">
        <v>24398</v>
      </c>
      <c r="D21" s="9">
        <v>1740</v>
      </c>
      <c r="E21" s="5">
        <f t="shared" si="0"/>
        <v>7.1317321091892774E-2</v>
      </c>
      <c r="F21" s="5">
        <f t="shared" si="6"/>
        <v>2.5</v>
      </c>
      <c r="G21" s="5">
        <f t="shared" si="7"/>
        <v>0.30262974815639343</v>
      </c>
      <c r="H21" s="5">
        <f t="shared" si="1"/>
        <v>0.69737025184360657</v>
      </c>
      <c r="I21" s="6">
        <f t="shared" si="3"/>
        <v>53185.464642909305</v>
      </c>
      <c r="J21" s="6">
        <f t="shared" si="2"/>
        <v>16095.503770464409</v>
      </c>
      <c r="K21" s="6">
        <f t="shared" ref="K21" si="9">(B21*I22)+(F21*J21)</f>
        <v>225688.56378838548</v>
      </c>
      <c r="L21" s="6">
        <f>K21+L22</f>
        <v>493661.01822182199</v>
      </c>
      <c r="M21" s="13">
        <f t="shared" si="5"/>
        <v>9.2818784518720374</v>
      </c>
    </row>
    <row r="22" spans="1:13">
      <c r="A22" s="3" t="s">
        <v>2</v>
      </c>
      <c r="B22" s="7">
        <v>5</v>
      </c>
      <c r="C22" s="10">
        <v>23994</v>
      </c>
      <c r="D22" s="9">
        <v>3321</v>
      </c>
      <c r="E22" s="5">
        <f t="shared" si="0"/>
        <v>0.13840960240060016</v>
      </c>
      <c r="F22" s="5">
        <f t="shared" si="6"/>
        <v>2.5</v>
      </c>
      <c r="G22" s="5">
        <v>1</v>
      </c>
      <c r="H22" s="5">
        <f t="shared" si="1"/>
        <v>0</v>
      </c>
      <c r="I22" s="6">
        <f>I21*H21</f>
        <v>37089.960872444892</v>
      </c>
      <c r="J22" s="6">
        <f t="shared" si="2"/>
        <v>37089.960872444892</v>
      </c>
      <c r="K22" s="6">
        <f>I22/E22</f>
        <v>267972.45443343651</v>
      </c>
      <c r="L22" s="6">
        <f>I22/E22</f>
        <v>267972.45443343651</v>
      </c>
      <c r="M22" s="13">
        <f t="shared" si="5"/>
        <v>7.2249322493224923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9F05B-5EE2-42F3-A8A2-96A6759F9F74}">
  <dimension ref="A1:M22"/>
  <sheetViews>
    <sheetView tabSelected="1" workbookViewId="0">
      <selection activeCell="A3" sqref="A3:M22"/>
    </sheetView>
  </sheetViews>
  <sheetFormatPr baseColWidth="10" defaultRowHeight="13.8"/>
  <cols>
    <col min="1" max="1" width="6.8984375" customWidth="1"/>
    <col min="2" max="2" width="5.59765625" customWidth="1"/>
    <col min="3" max="3" width="7.796875" customWidth="1"/>
    <col min="4" max="4" width="7.19921875" customWidth="1"/>
    <col min="5" max="5" width="8.296875" customWidth="1"/>
    <col min="6" max="6" width="8.796875" customWidth="1"/>
    <col min="7" max="7" width="8.59765625" customWidth="1"/>
    <col min="8" max="8" width="6.296875" customWidth="1"/>
    <col min="9" max="9" width="8.59765625" customWidth="1"/>
    <col min="10" max="10" width="7.59765625" customWidth="1"/>
    <col min="11" max="11" width="7.796875" customWidth="1"/>
    <col min="12" max="12" width="7.69921875" customWidth="1"/>
    <col min="13" max="13" width="6.296875" customWidth="1"/>
  </cols>
  <sheetData>
    <row r="1" spans="1:13">
      <c r="A1" s="16" t="s">
        <v>6</v>
      </c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</row>
    <row r="3" spans="1:13" ht="16.2">
      <c r="A3" s="12" t="s">
        <v>0</v>
      </c>
      <c r="B3" s="12" t="s">
        <v>1</v>
      </c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18</v>
      </c>
      <c r="M3" s="12"/>
    </row>
    <row r="4" spans="1:13">
      <c r="A4" s="3">
        <v>0</v>
      </c>
      <c r="B4" s="3">
        <v>1</v>
      </c>
      <c r="C4" s="8">
        <v>61523</v>
      </c>
      <c r="D4" s="8">
        <v>689</v>
      </c>
      <c r="E4" s="5">
        <f>D4/C4</f>
        <v>1.1199063764770898E-2</v>
      </c>
      <c r="F4" s="14">
        <f>0.053 + 2.8 * E4</f>
        <v>8.435737854135851E-2</v>
      </c>
      <c r="G4" s="5">
        <f>(B4*E4)/(1+(B4-F4)*E4)</f>
        <v>1.1085390401415185E-2</v>
      </c>
      <c r="H4" s="5">
        <f>1-G4</f>
        <v>0.98891460959858479</v>
      </c>
      <c r="I4" s="6">
        <v>100000</v>
      </c>
      <c r="J4" s="6">
        <f>I4*G4</f>
        <v>1108.5390401415184</v>
      </c>
      <c r="K4" s="6">
        <f>(B4*I5)+(F4*J4)</f>
        <v>98984.974407295565</v>
      </c>
      <c r="L4" s="6">
        <f>K4+L5</f>
        <v>7786572.1082862234</v>
      </c>
      <c r="M4" s="13">
        <f>L4/I4</f>
        <v>77.865721082862237</v>
      </c>
    </row>
    <row r="5" spans="1:13">
      <c r="A5" s="7">
        <v>1</v>
      </c>
      <c r="B5" s="7">
        <v>4</v>
      </c>
      <c r="C5" s="8">
        <v>60517</v>
      </c>
      <c r="D5" s="4">
        <v>72</v>
      </c>
      <c r="E5" s="5">
        <f t="shared" ref="E5:E22" si="0">D5/C5</f>
        <v>1.1897483351785449E-3</v>
      </c>
      <c r="F5" s="15">
        <f>1.522 - 1.518 * E4</f>
        <v>1.5049998212050777</v>
      </c>
      <c r="G5" s="5">
        <f>(B5*E5)/(1+(B5-F5)*E5)</f>
        <v>4.7449084486211705E-3</v>
      </c>
      <c r="H5" s="5">
        <f t="shared" ref="H5:H22" si="1">1-G5</f>
        <v>0.99525509155137881</v>
      </c>
      <c r="I5" s="6">
        <f>I4*H4</f>
        <v>98891.460959858479</v>
      </c>
      <c r="J5" s="6">
        <f t="shared" ref="J5:J22" si="2">I5*G5</f>
        <v>469.23092860492312</v>
      </c>
      <c r="K5" s="6">
        <f>(B5*I6)+(F5*J5)</f>
        <v>394395.11258866853</v>
      </c>
      <c r="L5" s="6">
        <f>K5+L6</f>
        <v>7687587.1338789277</v>
      </c>
      <c r="M5" s="13">
        <f>L5/I5</f>
        <v>77.737623241297186</v>
      </c>
    </row>
    <row r="6" spans="1:13">
      <c r="A6" s="7">
        <v>5</v>
      </c>
      <c r="B6" s="7">
        <v>5</v>
      </c>
      <c r="C6" s="10">
        <v>303890</v>
      </c>
      <c r="D6" s="4">
        <v>57</v>
      </c>
      <c r="E6" s="5">
        <f t="shared" si="0"/>
        <v>1.8756786995294351E-4</v>
      </c>
      <c r="F6" s="5">
        <f>B6/2</f>
        <v>2.5</v>
      </c>
      <c r="G6" s="5">
        <f>(B6*E6)/(1+(B6-F6)*E6)</f>
        <v>9.3739978456250568E-4</v>
      </c>
      <c r="H6" s="5">
        <f t="shared" si="1"/>
        <v>0.99906260021543747</v>
      </c>
      <c r="I6" s="6">
        <f t="shared" ref="I6:I21" si="3">I5*H5</f>
        <v>98422.230031253552</v>
      </c>
      <c r="J6" s="6">
        <f t="shared" si="2"/>
        <v>92.260977227458454</v>
      </c>
      <c r="K6" s="6">
        <f>(B6*I7)+(F6*J6)</f>
        <v>491880.49771319906</v>
      </c>
      <c r="L6" s="6">
        <f t="shared" ref="L6:L20" si="4">K6+L7</f>
        <v>7293192.0212902594</v>
      </c>
      <c r="M6" s="13">
        <f t="shared" ref="M6:M22" si="5">L6/I6</f>
        <v>74.101064555988401</v>
      </c>
    </row>
    <row r="7" spans="1:13">
      <c r="A7" s="7">
        <v>10</v>
      </c>
      <c r="B7" s="7">
        <v>5</v>
      </c>
      <c r="C7" s="10">
        <v>311088</v>
      </c>
      <c r="D7" s="4">
        <v>73</v>
      </c>
      <c r="E7" s="5">
        <f t="shared" si="0"/>
        <v>2.3466028905004373E-4</v>
      </c>
      <c r="F7" s="5">
        <f t="shared" ref="F7:F22" si="6">B7/2</f>
        <v>2.5</v>
      </c>
      <c r="G7" s="5">
        <f t="shared" ref="G7:G21" si="7">(B7*E7)/(1+(B7-F7)*E7)</f>
        <v>1.1726135306750882E-3</v>
      </c>
      <c r="H7" s="5">
        <f t="shared" si="1"/>
        <v>0.9988273864693249</v>
      </c>
      <c r="I7" s="6">
        <f t="shared" si="3"/>
        <v>98329.969054026093</v>
      </c>
      <c r="J7" s="6">
        <f t="shared" si="2"/>
        <v>115.3030521836137</v>
      </c>
      <c r="K7" s="6">
        <f t="shared" ref="K7:K19" si="8">(B7*I8)+(F7*J7)</f>
        <v>491361.5876396714</v>
      </c>
      <c r="L7" s="6">
        <f t="shared" si="4"/>
        <v>6801311.5235770606</v>
      </c>
      <c r="M7" s="13">
        <f t="shared" si="5"/>
        <v>69.168246354681258</v>
      </c>
    </row>
    <row r="8" spans="1:13">
      <c r="A8" s="3">
        <v>15</v>
      </c>
      <c r="B8" s="7">
        <v>5</v>
      </c>
      <c r="C8" s="10">
        <v>314520</v>
      </c>
      <c r="D8" s="4">
        <v>145</v>
      </c>
      <c r="E8" s="5">
        <f t="shared" si="0"/>
        <v>4.6101996693374028E-4</v>
      </c>
      <c r="F8" s="5">
        <f t="shared" si="6"/>
        <v>2.5</v>
      </c>
      <c r="G8" s="5">
        <f t="shared" si="7"/>
        <v>2.3024461505482203E-3</v>
      </c>
      <c r="H8" s="5">
        <f t="shared" si="1"/>
        <v>0.9976975538494518</v>
      </c>
      <c r="I8" s="6">
        <f t="shared" si="3"/>
        <v>98214.666001842474</v>
      </c>
      <c r="J8" s="6">
        <f t="shared" si="2"/>
        <v>226.13397966332136</v>
      </c>
      <c r="K8" s="6">
        <f t="shared" si="8"/>
        <v>490507.99506005406</v>
      </c>
      <c r="L8" s="6">
        <f t="shared" si="4"/>
        <v>6309949.9359373888</v>
      </c>
      <c r="M8" s="13">
        <f t="shared" si="5"/>
        <v>64.246514220381471</v>
      </c>
    </row>
    <row r="9" spans="1:13">
      <c r="A9" s="3">
        <v>20</v>
      </c>
      <c r="B9" s="7">
        <v>5</v>
      </c>
      <c r="C9" s="10">
        <v>305706</v>
      </c>
      <c r="D9" s="4">
        <v>154</v>
      </c>
      <c r="E9" s="5">
        <f t="shared" si="0"/>
        <v>5.0375197084780805E-4</v>
      </c>
      <c r="F9" s="5">
        <f t="shared" si="6"/>
        <v>2.5</v>
      </c>
      <c r="G9" s="5">
        <f t="shared" si="7"/>
        <v>2.5155917684610138E-3</v>
      </c>
      <c r="H9" s="5">
        <f t="shared" si="1"/>
        <v>0.99748440823153894</v>
      </c>
      <c r="I9" s="6">
        <f t="shared" si="3"/>
        <v>97988.532022179148</v>
      </c>
      <c r="J9" s="6">
        <f t="shared" si="2"/>
        <v>246.49914455857231</v>
      </c>
      <c r="K9" s="6">
        <f t="shared" si="8"/>
        <v>489326.41224949923</v>
      </c>
      <c r="L9" s="6">
        <f t="shared" si="4"/>
        <v>5819441.9408773351</v>
      </c>
      <c r="M9" s="13">
        <f t="shared" si="5"/>
        <v>59.389010333986199</v>
      </c>
    </row>
    <row r="10" spans="1:13">
      <c r="A10" s="3">
        <v>25</v>
      </c>
      <c r="B10" s="7">
        <v>5</v>
      </c>
      <c r="C10" s="10">
        <v>291099</v>
      </c>
      <c r="D10" s="4">
        <v>195</v>
      </c>
      <c r="E10" s="5">
        <f t="shared" si="0"/>
        <v>6.6987519709789454E-4</v>
      </c>
      <c r="F10" s="5">
        <f t="shared" si="6"/>
        <v>2.5</v>
      </c>
      <c r="G10" s="5">
        <f t="shared" si="7"/>
        <v>3.3437762036308267E-3</v>
      </c>
      <c r="H10" s="5">
        <f t="shared" si="1"/>
        <v>0.9966562237963692</v>
      </c>
      <c r="I10" s="6">
        <f t="shared" si="3"/>
        <v>97742.032877620572</v>
      </c>
      <c r="J10" s="6">
        <f t="shared" si="2"/>
        <v>326.82748363068958</v>
      </c>
      <c r="K10" s="6">
        <f t="shared" si="8"/>
        <v>487893.09567902621</v>
      </c>
      <c r="L10" s="6">
        <f t="shared" si="4"/>
        <v>5330115.5286278361</v>
      </c>
      <c r="M10" s="13">
        <f t="shared" si="5"/>
        <v>54.532480773154063</v>
      </c>
    </row>
    <row r="11" spans="1:13">
      <c r="A11" s="3">
        <v>30</v>
      </c>
      <c r="B11" s="7">
        <v>5</v>
      </c>
      <c r="C11" s="10">
        <v>262743</v>
      </c>
      <c r="D11" s="4">
        <v>207</v>
      </c>
      <c r="E11" s="5">
        <f t="shared" si="0"/>
        <v>7.8784211187357992E-4</v>
      </c>
      <c r="F11" s="5">
        <f t="shared" si="6"/>
        <v>2.5</v>
      </c>
      <c r="G11" s="5">
        <f t="shared" si="7"/>
        <v>3.931467120969534E-3</v>
      </c>
      <c r="H11" s="5">
        <f t="shared" si="1"/>
        <v>0.99606853287903041</v>
      </c>
      <c r="I11" s="6">
        <f t="shared" si="3"/>
        <v>97415.205393989891</v>
      </c>
      <c r="J11" s="6">
        <f t="shared" si="2"/>
        <v>382.98467708896527</v>
      </c>
      <c r="K11" s="6">
        <f t="shared" si="8"/>
        <v>486118.56527722697</v>
      </c>
      <c r="L11" s="6">
        <f t="shared" si="4"/>
        <v>4842222.43294881</v>
      </c>
      <c r="M11" s="13">
        <f t="shared" si="5"/>
        <v>49.707049462809579</v>
      </c>
    </row>
    <row r="12" spans="1:13">
      <c r="A12" s="3">
        <v>35</v>
      </c>
      <c r="B12" s="7">
        <v>5</v>
      </c>
      <c r="C12" s="10">
        <v>238652</v>
      </c>
      <c r="D12" s="4">
        <v>288</v>
      </c>
      <c r="E12" s="5">
        <f t="shared" si="0"/>
        <v>1.2067780701607361E-3</v>
      </c>
      <c r="F12" s="5">
        <f t="shared" si="6"/>
        <v>2.5</v>
      </c>
      <c r="G12" s="5">
        <f t="shared" si="7"/>
        <v>6.0157411894457159E-3</v>
      </c>
      <c r="H12" s="5">
        <f t="shared" si="1"/>
        <v>0.9939842588105543</v>
      </c>
      <c r="I12" s="6">
        <f t="shared" si="3"/>
        <v>97032.22071690092</v>
      </c>
      <c r="J12" s="6">
        <f t="shared" si="2"/>
        <v>583.72072687004879</v>
      </c>
      <c r="K12" s="6">
        <f t="shared" si="8"/>
        <v>483701.80176732951</v>
      </c>
      <c r="L12" s="6">
        <f t="shared" si="4"/>
        <v>4356103.8676715828</v>
      </c>
      <c r="M12" s="13">
        <f t="shared" si="5"/>
        <v>44.893374958209563</v>
      </c>
    </row>
    <row r="13" spans="1:13">
      <c r="A13" s="3">
        <v>40</v>
      </c>
      <c r="B13" s="7">
        <v>5</v>
      </c>
      <c r="C13" s="10">
        <v>221454</v>
      </c>
      <c r="D13" s="4">
        <v>437</v>
      </c>
      <c r="E13" s="5">
        <f t="shared" si="0"/>
        <v>1.9733217733705418E-3</v>
      </c>
      <c r="F13" s="5">
        <f t="shared" si="6"/>
        <v>2.5</v>
      </c>
      <c r="G13" s="5">
        <f t="shared" si="7"/>
        <v>9.8181728312959297E-3</v>
      </c>
      <c r="H13" s="5">
        <f t="shared" si="1"/>
        <v>0.99018182716870407</v>
      </c>
      <c r="I13" s="6">
        <f t="shared" si="3"/>
        <v>96448.499990030876</v>
      </c>
      <c r="J13" s="6">
        <f t="shared" si="2"/>
        <v>946.9480422213669</v>
      </c>
      <c r="K13" s="6">
        <f t="shared" si="8"/>
        <v>479875.12984460098</v>
      </c>
      <c r="L13" s="6">
        <f t="shared" si="4"/>
        <v>3872402.0659042536</v>
      </c>
      <c r="M13" s="13">
        <f t="shared" si="5"/>
        <v>40.149945995059682</v>
      </c>
    </row>
    <row r="14" spans="1:13">
      <c r="A14" s="3">
        <v>45</v>
      </c>
      <c r="B14" s="7">
        <v>5</v>
      </c>
      <c r="C14" s="10">
        <v>200458</v>
      </c>
      <c r="D14" s="9">
        <v>584</v>
      </c>
      <c r="E14" s="5">
        <f t="shared" si="0"/>
        <v>2.9133284777858705E-3</v>
      </c>
      <c r="F14" s="5">
        <f t="shared" si="6"/>
        <v>2.5</v>
      </c>
      <c r="G14" s="5">
        <f t="shared" si="7"/>
        <v>1.4461315979754157E-2</v>
      </c>
      <c r="H14" s="5">
        <f t="shared" si="1"/>
        <v>0.9855386840202458</v>
      </c>
      <c r="I14" s="6">
        <f t="shared" si="3"/>
        <v>95501.551947809508</v>
      </c>
      <c r="J14" s="6">
        <f t="shared" si="2"/>
        <v>1381.0781192741795</v>
      </c>
      <c r="K14" s="6">
        <f t="shared" si="8"/>
        <v>474055.06444086204</v>
      </c>
      <c r="L14" s="6">
        <f t="shared" si="4"/>
        <v>3392526.9360596528</v>
      </c>
      <c r="M14" s="13">
        <f t="shared" si="5"/>
        <v>35.523264982265729</v>
      </c>
    </row>
    <row r="15" spans="1:13">
      <c r="A15" s="3">
        <v>50</v>
      </c>
      <c r="B15" s="7">
        <v>5</v>
      </c>
      <c r="C15" s="10">
        <v>169598</v>
      </c>
      <c r="D15" s="9">
        <v>780</v>
      </c>
      <c r="E15" s="5">
        <f t="shared" si="0"/>
        <v>4.5991108385712099E-3</v>
      </c>
      <c r="F15" s="5">
        <f t="shared" si="6"/>
        <v>2.5</v>
      </c>
      <c r="G15" s="5">
        <f t="shared" si="7"/>
        <v>2.2734161867232497E-2</v>
      </c>
      <c r="H15" s="5">
        <f t="shared" si="1"/>
        <v>0.97726583813276746</v>
      </c>
      <c r="I15" s="6">
        <f t="shared" si="3"/>
        <v>94120.473828535323</v>
      </c>
      <c r="J15" s="6">
        <f t="shared" si="2"/>
        <v>2139.750087038542</v>
      </c>
      <c r="K15" s="6">
        <f t="shared" si="8"/>
        <v>465252.99392508029</v>
      </c>
      <c r="L15" s="6">
        <f t="shared" si="4"/>
        <v>2918471.871618791</v>
      </c>
      <c r="M15" s="13">
        <f t="shared" si="5"/>
        <v>31.007832333436177</v>
      </c>
    </row>
    <row r="16" spans="1:13">
      <c r="A16" s="3">
        <v>55</v>
      </c>
      <c r="B16" s="7">
        <v>5</v>
      </c>
      <c r="C16" s="10">
        <v>141335</v>
      </c>
      <c r="D16" s="9">
        <v>1070</v>
      </c>
      <c r="E16" s="5">
        <f t="shared" si="0"/>
        <v>7.5706654402660344E-3</v>
      </c>
      <c r="F16" s="5">
        <f t="shared" si="6"/>
        <v>2.5</v>
      </c>
      <c r="G16" s="5">
        <f t="shared" si="7"/>
        <v>3.7150197902923413E-2</v>
      </c>
      <c r="H16" s="5">
        <f t="shared" si="1"/>
        <v>0.9628498020970766</v>
      </c>
      <c r="I16" s="6">
        <f t="shared" si="3"/>
        <v>91980.723741496782</v>
      </c>
      <c r="J16" s="6">
        <f t="shared" si="2"/>
        <v>3417.1020902507316</v>
      </c>
      <c r="K16" s="6">
        <f t="shared" si="8"/>
        <v>451360.86348185706</v>
      </c>
      <c r="L16" s="6">
        <f t="shared" si="4"/>
        <v>2453218.8776937108</v>
      </c>
      <c r="M16" s="13">
        <f t="shared" si="5"/>
        <v>26.67101081513832</v>
      </c>
    </row>
    <row r="17" spans="1:13">
      <c r="A17" s="3">
        <v>60</v>
      </c>
      <c r="B17" s="7">
        <v>5</v>
      </c>
      <c r="C17" s="10">
        <v>112369</v>
      </c>
      <c r="D17" s="9">
        <v>1286</v>
      </c>
      <c r="E17" s="5">
        <f t="shared" si="0"/>
        <v>1.1444437522804333E-2</v>
      </c>
      <c r="F17" s="5">
        <f t="shared" si="6"/>
        <v>2.5</v>
      </c>
      <c r="G17" s="5">
        <f t="shared" si="7"/>
        <v>5.5630537098560355E-2</v>
      </c>
      <c r="H17" s="5">
        <f t="shared" si="1"/>
        <v>0.94436946290143964</v>
      </c>
      <c r="I17" s="6">
        <f t="shared" si="3"/>
        <v>88563.621651246052</v>
      </c>
      <c r="J17" s="6">
        <f t="shared" si="2"/>
        <v>4926.8418398525064</v>
      </c>
      <c r="K17" s="6">
        <f t="shared" si="8"/>
        <v>430501.00365659897</v>
      </c>
      <c r="L17" s="6">
        <f t="shared" si="4"/>
        <v>2001858.014211854</v>
      </c>
      <c r="M17" s="13">
        <f t="shared" si="5"/>
        <v>22.603615083571832</v>
      </c>
    </row>
    <row r="18" spans="1:13">
      <c r="A18" s="3">
        <v>65</v>
      </c>
      <c r="B18" s="7">
        <v>5</v>
      </c>
      <c r="C18" s="10">
        <v>85111</v>
      </c>
      <c r="D18" s="9">
        <v>1489</v>
      </c>
      <c r="E18" s="5">
        <f t="shared" si="0"/>
        <v>1.7494800907050793E-2</v>
      </c>
      <c r="F18" s="5">
        <f t="shared" si="6"/>
        <v>2.5</v>
      </c>
      <c r="G18" s="5">
        <f t="shared" si="7"/>
        <v>8.3808473154834626E-2</v>
      </c>
      <c r="H18" s="5">
        <f t="shared" si="1"/>
        <v>0.91619152684516536</v>
      </c>
      <c r="I18" s="6">
        <f t="shared" si="3"/>
        <v>83636.779811393542</v>
      </c>
      <c r="J18" s="6">
        <f t="shared" si="2"/>
        <v>7009.4708155799899</v>
      </c>
      <c r="K18" s="6">
        <f t="shared" si="8"/>
        <v>400660.22201801772</v>
      </c>
      <c r="L18" s="6">
        <f t="shared" si="4"/>
        <v>1571357.010555255</v>
      </c>
      <c r="M18" s="13">
        <f t="shared" si="5"/>
        <v>18.787870768085149</v>
      </c>
    </row>
    <row r="19" spans="1:13">
      <c r="A19" s="3">
        <v>70</v>
      </c>
      <c r="B19" s="7">
        <v>5</v>
      </c>
      <c r="C19" s="10">
        <v>66369</v>
      </c>
      <c r="D19" s="9">
        <v>1696</v>
      </c>
      <c r="E19" s="5">
        <f t="shared" si="0"/>
        <v>2.5554099052268377E-2</v>
      </c>
      <c r="F19" s="5">
        <f t="shared" si="6"/>
        <v>2.5</v>
      </c>
      <c r="G19" s="5">
        <f t="shared" si="7"/>
        <v>0.12009800450367514</v>
      </c>
      <c r="H19" s="5">
        <f t="shared" si="1"/>
        <v>0.87990199549632486</v>
      </c>
      <c r="I19" s="6">
        <f t="shared" si="3"/>
        <v>76627.308995813553</v>
      </c>
      <c r="J19" s="6">
        <f t="shared" si="2"/>
        <v>9202.7869008837224</v>
      </c>
      <c r="K19" s="6">
        <f t="shared" si="8"/>
        <v>360129.57772685844</v>
      </c>
      <c r="L19" s="6">
        <f t="shared" si="4"/>
        <v>1170696.7885372373</v>
      </c>
      <c r="M19" s="13">
        <f t="shared" si="5"/>
        <v>15.277801137466501</v>
      </c>
    </row>
    <row r="20" spans="1:13">
      <c r="A20" s="3">
        <v>75</v>
      </c>
      <c r="B20" s="7">
        <v>5</v>
      </c>
      <c r="C20" s="10">
        <v>48885</v>
      </c>
      <c r="D20" s="9">
        <v>1837</v>
      </c>
      <c r="E20" s="5">
        <f t="shared" si="0"/>
        <v>3.7577989158228499E-2</v>
      </c>
      <c r="F20" s="5">
        <f t="shared" si="6"/>
        <v>2.5</v>
      </c>
      <c r="G20" s="5">
        <f t="shared" si="7"/>
        <v>0.17175447618157169</v>
      </c>
      <c r="H20" s="5">
        <f t="shared" si="1"/>
        <v>0.82824552381842831</v>
      </c>
      <c r="I20" s="6">
        <f t="shared" si="3"/>
        <v>67424.522094929824</v>
      </c>
      <c r="J20" s="6">
        <f t="shared" si="2"/>
        <v>11580.46347420748</v>
      </c>
      <c r="K20" s="6">
        <f>(B20*I21)+(F20*J20)</f>
        <v>308171.45178913046</v>
      </c>
      <c r="L20" s="6">
        <f t="shared" si="4"/>
        <v>810567.21081037889</v>
      </c>
      <c r="M20" s="13">
        <f t="shared" si="5"/>
        <v>12.021845845182961</v>
      </c>
    </row>
    <row r="21" spans="1:13">
      <c r="A21" s="3">
        <v>80</v>
      </c>
      <c r="B21" s="7">
        <v>5</v>
      </c>
      <c r="C21" s="10">
        <v>32500</v>
      </c>
      <c r="D21" s="9">
        <v>2289</v>
      </c>
      <c r="E21" s="5">
        <f t="shared" si="0"/>
        <v>7.0430769230769227E-2</v>
      </c>
      <c r="F21" s="5">
        <f t="shared" si="6"/>
        <v>2.5</v>
      </c>
      <c r="G21" s="5">
        <f t="shared" si="7"/>
        <v>0.29943096343776571</v>
      </c>
      <c r="H21" s="5">
        <f t="shared" si="1"/>
        <v>0.70056903656223435</v>
      </c>
      <c r="I21" s="6">
        <f t="shared" si="3"/>
        <v>55844.058620722346</v>
      </c>
      <c r="J21" s="6">
        <f t="shared" si="2"/>
        <v>16721.440275077959</v>
      </c>
      <c r="K21" s="6">
        <f t="shared" ref="K21" si="9">(B21*I22)+(F21*J21)</f>
        <v>237416.69241591683</v>
      </c>
      <c r="L21" s="6">
        <f>K21+L22</f>
        <v>502395.75902124844</v>
      </c>
      <c r="M21" s="13">
        <f t="shared" si="5"/>
        <v>8.9964048357119548</v>
      </c>
    </row>
    <row r="22" spans="1:13">
      <c r="A22" s="3" t="s">
        <v>2</v>
      </c>
      <c r="B22" s="7">
        <v>5</v>
      </c>
      <c r="C22" s="10">
        <v>30499</v>
      </c>
      <c r="D22" s="9">
        <v>4503</v>
      </c>
      <c r="E22" s="5">
        <f t="shared" si="0"/>
        <v>0.14764418505524771</v>
      </c>
      <c r="F22" s="5">
        <f t="shared" si="6"/>
        <v>2.5</v>
      </c>
      <c r="G22" s="5">
        <v>1</v>
      </c>
      <c r="H22" s="5">
        <f t="shared" si="1"/>
        <v>0</v>
      </c>
      <c r="I22" s="6">
        <f>I21*H21</f>
        <v>39122.618345644391</v>
      </c>
      <c r="J22" s="6">
        <f t="shared" si="2"/>
        <v>39122.618345644391</v>
      </c>
      <c r="K22" s="6">
        <f>I22/E22</f>
        <v>264979.06660533161</v>
      </c>
      <c r="L22" s="6">
        <f>I22/E22</f>
        <v>264979.06660533161</v>
      </c>
      <c r="M22" s="13">
        <f t="shared" si="5"/>
        <v>6.7730401954252715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8B42-BE9A-4BC4-A24E-C0B8D884713A}">
  <dimension ref="A1:M22"/>
  <sheetViews>
    <sheetView zoomScale="115" zoomScaleNormal="115" workbookViewId="0">
      <selection sqref="A1:D1"/>
    </sheetView>
  </sheetViews>
  <sheetFormatPr baseColWidth="10" defaultRowHeight="13.8"/>
  <cols>
    <col min="1" max="1" width="6.69921875" customWidth="1"/>
    <col min="2" max="2" width="6.59765625" customWidth="1"/>
    <col min="3" max="3" width="7.8984375" customWidth="1"/>
    <col min="4" max="4" width="7.19921875" customWidth="1"/>
    <col min="5" max="5" width="6.59765625" customWidth="1"/>
    <col min="6" max="6" width="6.796875" customWidth="1"/>
    <col min="7" max="7" width="8.296875" customWidth="1"/>
    <col min="8" max="8" width="7.296875" customWidth="1"/>
    <col min="9" max="9" width="7.3984375" customWidth="1"/>
    <col min="10" max="10" width="7.09765625" customWidth="1"/>
    <col min="11" max="11" width="7.5" customWidth="1"/>
    <col min="12" max="12" width="8.796875" customWidth="1"/>
    <col min="13" max="13" width="6.69921875" customWidth="1"/>
  </cols>
  <sheetData>
    <row r="1" spans="1:13">
      <c r="A1" s="16" t="s">
        <v>3</v>
      </c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</row>
    <row r="3" spans="1:13" ht="16.2">
      <c r="A3" s="12" t="s">
        <v>0</v>
      </c>
      <c r="B3" s="12" t="s">
        <v>1</v>
      </c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18</v>
      </c>
      <c r="M3" s="12"/>
    </row>
    <row r="4" spans="1:13">
      <c r="A4" s="3">
        <v>0</v>
      </c>
      <c r="B4" s="3">
        <v>1</v>
      </c>
      <c r="C4" s="8">
        <v>54889</v>
      </c>
      <c r="D4" s="8">
        <v>1282</v>
      </c>
      <c r="E4" s="5">
        <f>D4/C4</f>
        <v>2.335622802382991E-2</v>
      </c>
      <c r="F4" s="14">
        <f>0.053 + 2.8 * E4</f>
        <v>0.11839743846672374</v>
      </c>
      <c r="G4" s="5">
        <f>(B4*E4)/(1+(B4-F4)*E4)</f>
        <v>2.2885004936454019E-2</v>
      </c>
      <c r="H4" s="5">
        <f>1-G4</f>
        <v>0.97711499506354593</v>
      </c>
      <c r="I4" s="6">
        <v>100000</v>
      </c>
      <c r="J4" s="6">
        <f>I4*G4</f>
        <v>2288.500493645402</v>
      </c>
      <c r="K4" s="6">
        <f>(B4*I5)+(F4*J4)</f>
        <v>97982.452102732044</v>
      </c>
      <c r="L4" s="6">
        <f>K4+L5</f>
        <v>7173557.4121613214</v>
      </c>
      <c r="M4" s="13">
        <f>L4/I4</f>
        <v>71.735574121613212</v>
      </c>
    </row>
    <row r="5" spans="1:13">
      <c r="A5" s="7">
        <v>1</v>
      </c>
      <c r="B5" s="7">
        <v>4</v>
      </c>
      <c r="C5" s="8">
        <v>56326</v>
      </c>
      <c r="D5" s="4">
        <v>206</v>
      </c>
      <c r="E5" s="5">
        <f t="shared" ref="E5:E22" si="0">D5/C5</f>
        <v>3.6572808294570891E-3</v>
      </c>
      <c r="F5" s="15">
        <f>1.522 - 1.518 * E4</f>
        <v>1.4865452458598263</v>
      </c>
      <c r="G5" s="5">
        <f>(B5*E5)/(1+(B5-F5)*E5)</f>
        <v>1.4495871326907359E-2</v>
      </c>
      <c r="H5" s="5">
        <f t="shared" ref="H5:H22" si="1">1-G5</f>
        <v>0.98550412867309267</v>
      </c>
      <c r="I5" s="6">
        <f>I4*H4</f>
        <v>97711.499506354594</v>
      </c>
      <c r="J5" s="6">
        <f t="shared" ref="J5:J22" si="2">I5*G5</f>
        <v>1416.4133240032882</v>
      </c>
      <c r="K5" s="6">
        <f>(B5*I6)+(F5*J5)</f>
        <v>387285.90722237487</v>
      </c>
      <c r="L5" s="6">
        <f>K5+L6</f>
        <v>7075574.9600585895</v>
      </c>
      <c r="M5" s="13">
        <f>L5/I5</f>
        <v>72.412919623635858</v>
      </c>
    </row>
    <row r="6" spans="1:13">
      <c r="A6" s="7">
        <v>5</v>
      </c>
      <c r="B6" s="7">
        <v>5</v>
      </c>
      <c r="C6" s="10">
        <v>314122</v>
      </c>
      <c r="D6" s="4">
        <v>102</v>
      </c>
      <c r="E6" s="5">
        <f t="shared" si="0"/>
        <v>3.2471460133323997E-4</v>
      </c>
      <c r="F6" s="5">
        <f>B6/2</f>
        <v>2.5</v>
      </c>
      <c r="G6" s="5">
        <f>(B6*E6)/(1+(B6-F6)*E6)</f>
        <v>1.6222560810746334E-3</v>
      </c>
      <c r="H6" s="5">
        <f t="shared" si="1"/>
        <v>0.99837774391892542</v>
      </c>
      <c r="I6" s="6">
        <f t="shared" ref="I6:I21" si="3">I5*H5</f>
        <v>96295.086182351311</v>
      </c>
      <c r="J6" s="6">
        <f t="shared" si="2"/>
        <v>156.21528913692532</v>
      </c>
      <c r="K6" s="6">
        <f>(B6*I7)+(F6*J6)</f>
        <v>481084.89268891426</v>
      </c>
      <c r="L6" s="6">
        <f t="shared" ref="L6:L20" si="4">K6+L7</f>
        <v>6688289.0528362142</v>
      </c>
      <c r="M6" s="13">
        <f t="shared" ref="M6:M22" si="5">L6/I6</f>
        <v>69.456182220666875</v>
      </c>
    </row>
    <row r="7" spans="1:13">
      <c r="A7" s="7">
        <v>10</v>
      </c>
      <c r="B7" s="7">
        <v>5</v>
      </c>
      <c r="C7" s="10">
        <v>305657</v>
      </c>
      <c r="D7" s="4">
        <v>126</v>
      </c>
      <c r="E7" s="5">
        <f t="shared" si="0"/>
        <v>4.1222677707364791E-4</v>
      </c>
      <c r="F7" s="5">
        <f t="shared" ref="F7:F22" si="6">B7/2</f>
        <v>2.5</v>
      </c>
      <c r="G7" s="5">
        <f t="shared" ref="G7:G21" si="7">(B7*E7)/(1+(B7-F7)*E7)</f>
        <v>2.0590119357326809E-3</v>
      </c>
      <c r="H7" s="5">
        <f t="shared" si="1"/>
        <v>0.99794098806426734</v>
      </c>
      <c r="I7" s="6">
        <f t="shared" si="3"/>
        <v>96138.870893214393</v>
      </c>
      <c r="J7" s="6">
        <f t="shared" si="2"/>
        <v>197.95108265699167</v>
      </c>
      <c r="K7" s="6">
        <f t="shared" ref="K7:K19" si="8">(B7*I8)+(F7*J7)</f>
        <v>480199.4767594295</v>
      </c>
      <c r="L7" s="6">
        <f t="shared" si="4"/>
        <v>6207204.1601473</v>
      </c>
      <c r="M7" s="13">
        <f t="shared" si="5"/>
        <v>64.564978790336639</v>
      </c>
    </row>
    <row r="8" spans="1:13">
      <c r="A8" s="3">
        <v>15</v>
      </c>
      <c r="B8" s="7">
        <v>5</v>
      </c>
      <c r="C8" s="10">
        <v>299098</v>
      </c>
      <c r="D8" s="4">
        <v>295</v>
      </c>
      <c r="E8" s="5">
        <f t="shared" si="0"/>
        <v>9.8629880507392228E-4</v>
      </c>
      <c r="F8" s="5">
        <f t="shared" si="6"/>
        <v>2.5</v>
      </c>
      <c r="G8" s="5">
        <f t="shared" si="7"/>
        <v>4.9193641179913657E-3</v>
      </c>
      <c r="H8" s="5">
        <f t="shared" si="1"/>
        <v>0.99508063588200868</v>
      </c>
      <c r="I8" s="6">
        <f t="shared" si="3"/>
        <v>95940.919810557403</v>
      </c>
      <c r="J8" s="6">
        <f t="shared" si="2"/>
        <v>471.96831836314306</v>
      </c>
      <c r="K8" s="6">
        <f t="shared" si="8"/>
        <v>478524.67825687915</v>
      </c>
      <c r="L8" s="6">
        <f t="shared" si="4"/>
        <v>5727004.6833878709</v>
      </c>
      <c r="M8" s="13">
        <f t="shared" si="5"/>
        <v>59.693034991704003</v>
      </c>
    </row>
    <row r="9" spans="1:13">
      <c r="A9" s="3">
        <v>20</v>
      </c>
      <c r="B9" s="7">
        <v>5</v>
      </c>
      <c r="C9" s="10">
        <v>241187</v>
      </c>
      <c r="D9" s="4">
        <v>343</v>
      </c>
      <c r="E9" s="5">
        <f t="shared" si="0"/>
        <v>1.4221330337041383E-3</v>
      </c>
      <c r="F9" s="5">
        <f t="shared" si="6"/>
        <v>2.5</v>
      </c>
      <c r="G9" s="5">
        <f t="shared" si="7"/>
        <v>7.085473952103849E-3</v>
      </c>
      <c r="H9" s="5">
        <f t="shared" si="1"/>
        <v>0.99291452604789621</v>
      </c>
      <c r="I9" s="6">
        <f t="shared" si="3"/>
        <v>95468.951492194261</v>
      </c>
      <c r="J9" s="6">
        <f t="shared" si="2"/>
        <v>676.44276903260834</v>
      </c>
      <c r="K9" s="6">
        <f t="shared" si="8"/>
        <v>475653.6505383898</v>
      </c>
      <c r="L9" s="6">
        <f t="shared" si="4"/>
        <v>5248480.0051309913</v>
      </c>
      <c r="M9" s="13">
        <f t="shared" si="5"/>
        <v>54.975779277937477</v>
      </c>
    </row>
    <row r="10" spans="1:13">
      <c r="A10" s="3">
        <v>25</v>
      </c>
      <c r="B10" s="7">
        <v>5</v>
      </c>
      <c r="C10" s="10">
        <v>203626</v>
      </c>
      <c r="D10" s="4">
        <v>367</v>
      </c>
      <c r="E10" s="5">
        <f t="shared" si="0"/>
        <v>1.8023238682682958E-3</v>
      </c>
      <c r="F10" s="5">
        <f t="shared" si="6"/>
        <v>2.5</v>
      </c>
      <c r="G10" s="5">
        <f t="shared" si="7"/>
        <v>8.9711968358808774E-3</v>
      </c>
      <c r="H10" s="5">
        <f t="shared" si="1"/>
        <v>0.99102880316411912</v>
      </c>
      <c r="I10" s="6">
        <f t="shared" si="3"/>
        <v>94792.508723161664</v>
      </c>
      <c r="J10" s="6">
        <f t="shared" si="2"/>
        <v>850.40225432243835</v>
      </c>
      <c r="K10" s="6">
        <f t="shared" si="8"/>
        <v>471836.53798000218</v>
      </c>
      <c r="L10" s="6">
        <f t="shared" si="4"/>
        <v>4772826.3545926018</v>
      </c>
      <c r="M10" s="13">
        <f t="shared" si="5"/>
        <v>50.350248335883599</v>
      </c>
    </row>
    <row r="11" spans="1:13">
      <c r="A11" s="3">
        <v>30</v>
      </c>
      <c r="B11" s="7">
        <v>5</v>
      </c>
      <c r="C11" s="10">
        <v>192949</v>
      </c>
      <c r="D11" s="4">
        <v>418</v>
      </c>
      <c r="E11" s="5">
        <f t="shared" si="0"/>
        <v>2.1663755707466738E-3</v>
      </c>
      <c r="F11" s="5">
        <f t="shared" si="6"/>
        <v>2.5</v>
      </c>
      <c r="G11" s="5">
        <f t="shared" si="7"/>
        <v>1.0773529078218913E-2</v>
      </c>
      <c r="H11" s="5">
        <f t="shared" si="1"/>
        <v>0.98922647092178106</v>
      </c>
      <c r="I11" s="6">
        <f t="shared" si="3"/>
        <v>93942.106468839222</v>
      </c>
      <c r="J11" s="6">
        <f t="shared" si="2"/>
        <v>1012.0880157111764</v>
      </c>
      <c r="K11" s="6">
        <f t="shared" si="8"/>
        <v>467180.31230491813</v>
      </c>
      <c r="L11" s="6">
        <f t="shared" si="4"/>
        <v>4300989.8166125994</v>
      </c>
      <c r="M11" s="13">
        <f t="shared" si="5"/>
        <v>45.783408295610727</v>
      </c>
    </row>
    <row r="12" spans="1:13">
      <c r="A12" s="3">
        <v>35</v>
      </c>
      <c r="B12" s="7">
        <v>5</v>
      </c>
      <c r="C12" s="10">
        <v>182690</v>
      </c>
      <c r="D12" s="4">
        <v>510</v>
      </c>
      <c r="E12" s="5">
        <f t="shared" si="0"/>
        <v>2.7916142098637037E-3</v>
      </c>
      <c r="F12" s="5">
        <f t="shared" si="6"/>
        <v>2.5</v>
      </c>
      <c r="G12" s="5">
        <f t="shared" si="7"/>
        <v>1.3861332318647569E-2</v>
      </c>
      <c r="H12" s="5">
        <f t="shared" si="1"/>
        <v>0.98613866768135239</v>
      </c>
      <c r="I12" s="6">
        <f t="shared" si="3"/>
        <v>92930.018453128039</v>
      </c>
      <c r="J12" s="6">
        <f t="shared" si="2"/>
        <v>1288.1338681568586</v>
      </c>
      <c r="K12" s="6">
        <f t="shared" si="8"/>
        <v>461429.75759524805</v>
      </c>
      <c r="L12" s="6">
        <f t="shared" si="4"/>
        <v>3833809.5043076817</v>
      </c>
      <c r="M12" s="13">
        <f t="shared" si="5"/>
        <v>41.254801926477342</v>
      </c>
    </row>
    <row r="13" spans="1:13">
      <c r="A13" s="3">
        <v>40</v>
      </c>
      <c r="B13" s="7">
        <v>5</v>
      </c>
      <c r="C13" s="10">
        <v>151228</v>
      </c>
      <c r="D13" s="4">
        <v>595</v>
      </c>
      <c r="E13" s="5">
        <f t="shared" si="0"/>
        <v>3.9344565821144229E-3</v>
      </c>
      <c r="F13" s="5">
        <f t="shared" si="6"/>
        <v>2.5</v>
      </c>
      <c r="G13" s="5">
        <f t="shared" si="7"/>
        <v>1.9480668301514906E-2</v>
      </c>
      <c r="H13" s="5">
        <f t="shared" si="1"/>
        <v>0.98051933169848504</v>
      </c>
      <c r="I13" s="6">
        <f t="shared" si="3"/>
        <v>91641.88458497118</v>
      </c>
      <c r="J13" s="6">
        <f t="shared" si="2"/>
        <v>1785.2451561255357</v>
      </c>
      <c r="K13" s="6">
        <f t="shared" si="8"/>
        <v>453746.310034542</v>
      </c>
      <c r="L13" s="6">
        <f t="shared" si="4"/>
        <v>3372379.7467124336</v>
      </c>
      <c r="M13" s="13">
        <f t="shared" si="5"/>
        <v>36.799545993464733</v>
      </c>
    </row>
    <row r="14" spans="1:13">
      <c r="A14" s="3">
        <v>45</v>
      </c>
      <c r="B14" s="7">
        <v>5</v>
      </c>
      <c r="C14" s="10">
        <v>129308</v>
      </c>
      <c r="D14" s="4">
        <v>753</v>
      </c>
      <c r="E14" s="5">
        <f t="shared" si="0"/>
        <v>5.8233055959414732E-3</v>
      </c>
      <c r="F14" s="5">
        <f t="shared" si="6"/>
        <v>2.5</v>
      </c>
      <c r="G14" s="5">
        <f t="shared" si="7"/>
        <v>2.8698724374097213E-2</v>
      </c>
      <c r="H14" s="5">
        <f t="shared" si="1"/>
        <v>0.97130127562590274</v>
      </c>
      <c r="I14" s="6">
        <f t="shared" si="3"/>
        <v>89856.639428845636</v>
      </c>
      <c r="J14" s="6">
        <f t="shared" si="2"/>
        <v>2578.770928151077</v>
      </c>
      <c r="K14" s="6">
        <f t="shared" si="8"/>
        <v>442836.26982385048</v>
      </c>
      <c r="L14" s="6">
        <f t="shared" si="4"/>
        <v>2918633.4366778918</v>
      </c>
      <c r="M14" s="13">
        <f t="shared" si="5"/>
        <v>32.480999236445477</v>
      </c>
    </row>
    <row r="15" spans="1:13">
      <c r="A15" s="3">
        <v>50</v>
      </c>
      <c r="B15" s="7">
        <v>5</v>
      </c>
      <c r="C15" s="10">
        <v>110377</v>
      </c>
      <c r="D15" s="4">
        <v>870</v>
      </c>
      <c r="E15" s="5">
        <f t="shared" si="0"/>
        <v>7.882076881959103E-3</v>
      </c>
      <c r="F15" s="5">
        <f t="shared" si="6"/>
        <v>2.5</v>
      </c>
      <c r="G15" s="5">
        <f t="shared" si="7"/>
        <v>3.8648802331366826E-2</v>
      </c>
      <c r="H15" s="5">
        <f t="shared" si="1"/>
        <v>0.9613511976686332</v>
      </c>
      <c r="I15" s="6">
        <f t="shared" si="3"/>
        <v>87277.86850069456</v>
      </c>
      <c r="J15" s="6">
        <f t="shared" si="2"/>
        <v>3373.1850875863711</v>
      </c>
      <c r="K15" s="6">
        <f t="shared" si="8"/>
        <v>427956.37978450686</v>
      </c>
      <c r="L15" s="6">
        <f t="shared" si="4"/>
        <v>2475797.1668540412</v>
      </c>
      <c r="M15" s="13">
        <f t="shared" si="5"/>
        <v>28.366838115831605</v>
      </c>
    </row>
    <row r="16" spans="1:13">
      <c r="A16" s="3">
        <v>55</v>
      </c>
      <c r="B16" s="7">
        <v>5</v>
      </c>
      <c r="C16" s="10">
        <v>88207</v>
      </c>
      <c r="D16" s="4">
        <v>1010</v>
      </c>
      <c r="E16" s="5">
        <f t="shared" si="0"/>
        <v>1.1450338408516331E-2</v>
      </c>
      <c r="F16" s="5">
        <f t="shared" si="6"/>
        <v>2.5</v>
      </c>
      <c r="G16" s="5">
        <f t="shared" si="7"/>
        <v>5.5658422607238897E-2</v>
      </c>
      <c r="H16" s="5">
        <f t="shared" si="1"/>
        <v>0.94434157739276114</v>
      </c>
      <c r="I16" s="6">
        <f t="shared" si="3"/>
        <v>83904.683413108185</v>
      </c>
      <c r="J16" s="6">
        <f t="shared" si="2"/>
        <v>4670.0023281333633</v>
      </c>
      <c r="K16" s="6">
        <f t="shared" si="8"/>
        <v>407848.41124520759</v>
      </c>
      <c r="L16" s="6">
        <f t="shared" si="4"/>
        <v>2047840.7870695342</v>
      </c>
      <c r="M16" s="13">
        <f t="shared" si="5"/>
        <v>24.40675184943974</v>
      </c>
    </row>
    <row r="17" spans="1:13">
      <c r="A17" s="3">
        <v>60</v>
      </c>
      <c r="B17" s="7">
        <v>5</v>
      </c>
      <c r="C17" s="10">
        <v>69041</v>
      </c>
      <c r="D17" s="4">
        <v>1167</v>
      </c>
      <c r="E17" s="5">
        <f t="shared" si="0"/>
        <v>1.6902999666864617E-2</v>
      </c>
      <c r="F17" s="5">
        <f t="shared" si="6"/>
        <v>2.5</v>
      </c>
      <c r="G17" s="5">
        <f t="shared" si="7"/>
        <v>8.1088405122396942E-2</v>
      </c>
      <c r="H17" s="5">
        <f t="shared" si="1"/>
        <v>0.9189115948776031</v>
      </c>
      <c r="I17" s="6">
        <f t="shared" si="3"/>
        <v>79234.681084974829</v>
      </c>
      <c r="J17" s="6">
        <f t="shared" si="2"/>
        <v>6425.0139195623606</v>
      </c>
      <c r="K17" s="6">
        <f t="shared" si="8"/>
        <v>380110.87062596821</v>
      </c>
      <c r="L17" s="6">
        <f t="shared" si="4"/>
        <v>1639992.3758243266</v>
      </c>
      <c r="M17" s="13">
        <f t="shared" si="5"/>
        <v>20.697910982509352</v>
      </c>
    </row>
    <row r="18" spans="1:13">
      <c r="A18" s="3">
        <v>65</v>
      </c>
      <c r="B18" s="7">
        <v>5</v>
      </c>
      <c r="C18" s="10">
        <v>53384</v>
      </c>
      <c r="D18" s="9">
        <v>1261</v>
      </c>
      <c r="E18" s="5">
        <f t="shared" si="0"/>
        <v>2.3621309755732053E-2</v>
      </c>
      <c r="F18" s="5">
        <f t="shared" si="6"/>
        <v>2.5</v>
      </c>
      <c r="G18" s="5">
        <f t="shared" si="7"/>
        <v>0.11152087589433374</v>
      </c>
      <c r="H18" s="5">
        <f t="shared" si="1"/>
        <v>0.88847912410566621</v>
      </c>
      <c r="I18" s="6">
        <f t="shared" si="3"/>
        <v>72809.667165412466</v>
      </c>
      <c r="J18" s="6">
        <f t="shared" si="2"/>
        <v>8119.7978558617096</v>
      </c>
      <c r="K18" s="6">
        <f t="shared" si="8"/>
        <v>343748.84118740808</v>
      </c>
      <c r="L18" s="6">
        <f t="shared" si="4"/>
        <v>1259881.5051983586</v>
      </c>
      <c r="M18" s="13">
        <f t="shared" si="5"/>
        <v>17.303766851949753</v>
      </c>
    </row>
    <row r="19" spans="1:13">
      <c r="A19" s="3">
        <v>70</v>
      </c>
      <c r="B19" s="7">
        <v>5</v>
      </c>
      <c r="C19" s="10">
        <v>43408</v>
      </c>
      <c r="D19" s="9">
        <v>1431</v>
      </c>
      <c r="E19" s="5">
        <f t="shared" si="0"/>
        <v>3.2966273497972723E-2</v>
      </c>
      <c r="F19" s="5">
        <f t="shared" si="6"/>
        <v>2.5</v>
      </c>
      <c r="G19" s="5">
        <f t="shared" si="7"/>
        <v>0.15228102286875736</v>
      </c>
      <c r="H19" s="5">
        <f t="shared" si="1"/>
        <v>0.84771897713124267</v>
      </c>
      <c r="I19" s="6">
        <f t="shared" si="3"/>
        <v>64689.869309550755</v>
      </c>
      <c r="J19" s="6">
        <f t="shared" si="2"/>
        <v>9851.0394677046243</v>
      </c>
      <c r="K19" s="6">
        <f t="shared" si="8"/>
        <v>298821.74787849223</v>
      </c>
      <c r="L19" s="6">
        <f t="shared" si="4"/>
        <v>916132.66401095048</v>
      </c>
      <c r="M19" s="13">
        <f t="shared" si="5"/>
        <v>14.161918609343882</v>
      </c>
    </row>
    <row r="20" spans="1:13">
      <c r="A20" s="3">
        <v>75</v>
      </c>
      <c r="B20" s="7">
        <v>5</v>
      </c>
      <c r="C20" s="10">
        <v>30238</v>
      </c>
      <c r="D20" s="9">
        <v>1619</v>
      </c>
      <c r="E20" s="5">
        <f t="shared" si="0"/>
        <v>5.3541900919372977E-2</v>
      </c>
      <c r="F20" s="5">
        <f t="shared" si="6"/>
        <v>2.5</v>
      </c>
      <c r="G20" s="5">
        <f t="shared" si="7"/>
        <v>0.23610564232693124</v>
      </c>
      <c r="H20" s="5">
        <f t="shared" si="1"/>
        <v>0.76389435767306879</v>
      </c>
      <c r="I20" s="6">
        <f t="shared" si="3"/>
        <v>54838.829841846135</v>
      </c>
      <c r="J20" s="6">
        <f t="shared" si="2"/>
        <v>12947.757144266367</v>
      </c>
      <c r="K20" s="6">
        <f>(B20*I21)+(F20*J20)</f>
        <v>241824.75634856476</v>
      </c>
      <c r="L20" s="6">
        <f t="shared" si="4"/>
        <v>617310.91613245825</v>
      </c>
      <c r="M20" s="13">
        <f t="shared" si="5"/>
        <v>11.256821451383409</v>
      </c>
    </row>
    <row r="21" spans="1:13">
      <c r="A21" s="3">
        <v>80</v>
      </c>
      <c r="B21" s="7">
        <v>5</v>
      </c>
      <c r="C21" s="10">
        <v>18969</v>
      </c>
      <c r="D21" s="9">
        <v>1473</v>
      </c>
      <c r="E21" s="5">
        <f t="shared" si="0"/>
        <v>7.7653012810374816E-2</v>
      </c>
      <c r="F21" s="5">
        <f t="shared" si="6"/>
        <v>2.5</v>
      </c>
      <c r="G21" s="5">
        <f t="shared" si="7"/>
        <v>0.3251440301966757</v>
      </c>
      <c r="H21" s="5">
        <f t="shared" si="1"/>
        <v>0.6748559698033243</v>
      </c>
      <c r="I21" s="6">
        <f t="shared" si="3"/>
        <v>41891.072697579766</v>
      </c>
      <c r="J21" s="6">
        <f t="shared" si="2"/>
        <v>13620.632206153012</v>
      </c>
      <c r="K21" s="6">
        <f t="shared" ref="K21" si="9">(B21*I22)+(F21*J21)</f>
        <v>175403.78297251629</v>
      </c>
      <c r="L21" s="6">
        <f>K21+L22</f>
        <v>375486.1597838935</v>
      </c>
      <c r="M21" s="13">
        <f t="shared" si="5"/>
        <v>8.9633932865506925</v>
      </c>
    </row>
    <row r="22" spans="1:13">
      <c r="A22" s="3" t="s">
        <v>2</v>
      </c>
      <c r="B22" s="7">
        <v>5</v>
      </c>
      <c r="C22" s="10">
        <v>16816</v>
      </c>
      <c r="D22" s="9">
        <v>2376</v>
      </c>
      <c r="E22" s="5">
        <f t="shared" si="0"/>
        <v>0.1412940057088487</v>
      </c>
      <c r="F22" s="5">
        <f t="shared" si="6"/>
        <v>2.5</v>
      </c>
      <c r="G22" s="5">
        <v>1</v>
      </c>
      <c r="H22" s="5">
        <f t="shared" si="1"/>
        <v>0</v>
      </c>
      <c r="I22" s="6">
        <f>I21*H21</f>
        <v>28270.440491426754</v>
      </c>
      <c r="J22" s="6">
        <f t="shared" si="2"/>
        <v>28270.440491426754</v>
      </c>
      <c r="K22" s="6">
        <f>I22/E22</f>
        <v>200082.37681137724</v>
      </c>
      <c r="L22" s="6">
        <f>I22/E22</f>
        <v>200082.37681137724</v>
      </c>
      <c r="M22" s="13">
        <f t="shared" si="5"/>
        <v>7.0774410774410779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53C0-0C8F-497D-8C4E-AFE0C6FB88D1}">
  <dimension ref="A1:M22"/>
  <sheetViews>
    <sheetView workbookViewId="0">
      <selection activeCell="C6" sqref="C6:C22"/>
    </sheetView>
  </sheetViews>
  <sheetFormatPr baseColWidth="10" defaultRowHeight="13.8"/>
  <cols>
    <col min="1" max="1" width="7.296875" customWidth="1"/>
    <col min="2" max="2" width="5.5" customWidth="1"/>
    <col min="3" max="3" width="7.59765625" customWidth="1"/>
    <col min="4" max="4" width="7.09765625" customWidth="1"/>
    <col min="5" max="5" width="6.59765625" customWidth="1"/>
    <col min="6" max="6" width="8.796875" customWidth="1"/>
    <col min="7" max="7" width="6.296875" customWidth="1"/>
    <col min="8" max="9" width="7.5" customWidth="1"/>
    <col min="10" max="10" width="7.59765625" customWidth="1"/>
    <col min="11" max="11" width="7.69921875" customWidth="1"/>
    <col min="12" max="12" width="9" customWidth="1"/>
    <col min="13" max="13" width="7" customWidth="1"/>
  </cols>
  <sheetData>
    <row r="1" spans="1:13">
      <c r="A1" s="16" t="s">
        <v>5</v>
      </c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</row>
    <row r="3" spans="1:13" ht="16.2">
      <c r="A3" s="12" t="s">
        <v>0</v>
      </c>
      <c r="B3" s="12" t="s">
        <v>1</v>
      </c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18</v>
      </c>
      <c r="M3" s="12"/>
    </row>
    <row r="4" spans="1:13">
      <c r="A4" s="3">
        <v>0</v>
      </c>
      <c r="B4" s="3">
        <v>1</v>
      </c>
      <c r="C4" s="8">
        <v>63812</v>
      </c>
      <c r="D4" s="8">
        <v>937</v>
      </c>
      <c r="E4" s="5">
        <f>D4/C4</f>
        <v>1.4683758540713346E-2</v>
      </c>
      <c r="F4" s="14">
        <f>0.053 + 2.8 * E4</f>
        <v>9.4114523913997356E-2</v>
      </c>
      <c r="G4" s="5">
        <f>(B4*E4)/(1+(B4-F4)*E4)</f>
        <v>1.4491002077168033E-2</v>
      </c>
      <c r="H4" s="5">
        <f>1-G4</f>
        <v>0.98550899792283198</v>
      </c>
      <c r="I4" s="6">
        <v>100000</v>
      </c>
      <c r="J4" s="6">
        <f>I4*G4</f>
        <v>1449.1002077168034</v>
      </c>
      <c r="K4" s="6">
        <f>(B4*I5)+(F4*J4)</f>
        <v>98687.281168436137</v>
      </c>
      <c r="L4" s="6">
        <f>K4+L5</f>
        <v>7243251.0554178832</v>
      </c>
      <c r="M4" s="13">
        <f>L4/I4</f>
        <v>72.432510554178833</v>
      </c>
    </row>
    <row r="5" spans="1:13">
      <c r="A5" s="7">
        <v>1</v>
      </c>
      <c r="B5" s="7">
        <v>4</v>
      </c>
      <c r="C5" s="8">
        <v>62704</v>
      </c>
      <c r="D5" s="4">
        <v>75</v>
      </c>
      <c r="E5" s="5">
        <f t="shared" ref="E5:E22" si="0">D5/C5</f>
        <v>1.1960959428425619E-3</v>
      </c>
      <c r="F5" s="15">
        <f>1.522 - 1.518 * E4</f>
        <v>1.4997100545351971</v>
      </c>
      <c r="G5" s="5">
        <f>(B5*E5)/(1+(B5-F5)*E5)</f>
        <v>4.7701183191597761E-3</v>
      </c>
      <c r="H5" s="5">
        <f t="shared" ref="H5:H22" si="1">1-G5</f>
        <v>0.99522988168084026</v>
      </c>
      <c r="I5" s="6">
        <f>I4*H4</f>
        <v>98550.899792283191</v>
      </c>
      <c r="J5" s="6">
        <f t="shared" ref="J5:J22" si="2">I5*G5</f>
        <v>470.09945246884945</v>
      </c>
      <c r="K5" s="6">
        <f>(B5*I6)+(F5*J5)</f>
        <v>393028.21423475642</v>
      </c>
      <c r="L5" s="6">
        <f>K5+L6</f>
        <v>7144563.7742494475</v>
      </c>
      <c r="M5" s="13">
        <f>L5/I5</f>
        <v>72.496180038012056</v>
      </c>
    </row>
    <row r="6" spans="1:13">
      <c r="A6" s="7">
        <v>5</v>
      </c>
      <c r="B6" s="7">
        <v>5</v>
      </c>
      <c r="C6" s="10">
        <v>313806</v>
      </c>
      <c r="D6" s="4">
        <v>86</v>
      </c>
      <c r="E6" s="5">
        <f t="shared" si="0"/>
        <v>2.7405467072012644E-4</v>
      </c>
      <c r="F6" s="5">
        <f>B6/2</f>
        <v>2.5</v>
      </c>
      <c r="G6" s="5">
        <f>(B6*E6)/(1+(B6-F6)*E6)</f>
        <v>1.369335171851564E-3</v>
      </c>
      <c r="H6" s="5">
        <f t="shared" si="1"/>
        <v>0.99863066482814844</v>
      </c>
      <c r="I6" s="6">
        <f t="shared" ref="I6:I21" si="3">I5*H5</f>
        <v>98080.800339814348</v>
      </c>
      <c r="J6" s="6">
        <f t="shared" si="2"/>
        <v>134.30548958865862</v>
      </c>
      <c r="K6" s="6">
        <f>(B6*I7)+(F6*J6)</f>
        <v>490068.23797510011</v>
      </c>
      <c r="L6" s="6">
        <f t="shared" ref="L6:L20" si="4">K6+L7</f>
        <v>6751535.5600146912</v>
      </c>
      <c r="M6" s="13">
        <f t="shared" ref="M6:M22" si="5">L6/I6</f>
        <v>68.836464798646347</v>
      </c>
    </row>
    <row r="7" spans="1:13">
      <c r="A7" s="7">
        <v>10</v>
      </c>
      <c r="B7" s="7">
        <v>5</v>
      </c>
      <c r="C7" s="10">
        <v>318723</v>
      </c>
      <c r="D7" s="4">
        <v>104</v>
      </c>
      <c r="E7" s="5">
        <f t="shared" si="0"/>
        <v>3.2630214951540992E-4</v>
      </c>
      <c r="F7" s="5">
        <f t="shared" ref="F7:F22" si="6">B7/2</f>
        <v>2.5</v>
      </c>
      <c r="G7" s="5">
        <f t="shared" ref="G7:G21" si="7">(B7*E7)/(1+(B7-F7)*E7)</f>
        <v>1.6301809187323464E-3</v>
      </c>
      <c r="H7" s="5">
        <f t="shared" si="1"/>
        <v>0.99836981908126765</v>
      </c>
      <c r="I7" s="6">
        <f t="shared" si="3"/>
        <v>97946.494850225688</v>
      </c>
      <c r="J7" s="6">
        <f t="shared" si="2"/>
        <v>159.67050696155394</v>
      </c>
      <c r="K7" s="6">
        <f t="shared" ref="K7:K19" si="8">(B7*I8)+(F7*J7)</f>
        <v>489333.29798372451</v>
      </c>
      <c r="L7" s="6">
        <f t="shared" si="4"/>
        <v>6261467.3220395911</v>
      </c>
      <c r="M7" s="13">
        <f t="shared" si="5"/>
        <v>63.927426209730911</v>
      </c>
    </row>
    <row r="8" spans="1:13">
      <c r="A8" s="3">
        <v>15</v>
      </c>
      <c r="B8" s="7">
        <v>5</v>
      </c>
      <c r="C8" s="10">
        <v>317441</v>
      </c>
      <c r="D8" s="4">
        <v>323</v>
      </c>
      <c r="E8" s="5">
        <f t="shared" si="0"/>
        <v>1.0175119156000643E-3</v>
      </c>
      <c r="F8" s="5">
        <f t="shared" si="6"/>
        <v>2.5</v>
      </c>
      <c r="G8" s="5">
        <f t="shared" si="7"/>
        <v>5.0746507839000022E-3</v>
      </c>
      <c r="H8" s="5">
        <f t="shared" si="1"/>
        <v>0.99492534921609999</v>
      </c>
      <c r="I8" s="6">
        <f t="shared" si="3"/>
        <v>97786.824343264132</v>
      </c>
      <c r="J8" s="6">
        <f t="shared" si="2"/>
        <v>496.23398480863716</v>
      </c>
      <c r="K8" s="6">
        <f t="shared" si="8"/>
        <v>487693.53675429907</v>
      </c>
      <c r="L8" s="6">
        <f t="shared" si="4"/>
        <v>5772134.0240558665</v>
      </c>
      <c r="M8" s="13">
        <f t="shared" si="5"/>
        <v>59.027727537134908</v>
      </c>
    </row>
    <row r="9" spans="1:13">
      <c r="A9" s="3">
        <v>20</v>
      </c>
      <c r="B9" s="7">
        <v>5</v>
      </c>
      <c r="C9" s="10">
        <v>302389</v>
      </c>
      <c r="D9" s="4">
        <v>520</v>
      </c>
      <c r="E9" s="5">
        <f t="shared" si="0"/>
        <v>1.7196392725925876E-3</v>
      </c>
      <c r="F9" s="5">
        <f t="shared" si="6"/>
        <v>2.5</v>
      </c>
      <c r="G9" s="5">
        <f t="shared" si="7"/>
        <v>8.561390106325879E-3</v>
      </c>
      <c r="H9" s="5">
        <f t="shared" si="1"/>
        <v>0.99143860989367416</v>
      </c>
      <c r="I9" s="6">
        <f t="shared" si="3"/>
        <v>97290.590358455491</v>
      </c>
      <c r="J9" s="6">
        <f t="shared" si="2"/>
        <v>832.94269773348481</v>
      </c>
      <c r="K9" s="6">
        <f t="shared" si="8"/>
        <v>484370.59504794376</v>
      </c>
      <c r="L9" s="6">
        <f t="shared" si="4"/>
        <v>5284440.4873015676</v>
      </c>
      <c r="M9" s="13">
        <f t="shared" si="5"/>
        <v>54.316049145469066</v>
      </c>
    </row>
    <row r="10" spans="1:13">
      <c r="A10" s="3">
        <v>25</v>
      </c>
      <c r="B10" s="7">
        <v>5</v>
      </c>
      <c r="C10" s="10">
        <v>277285</v>
      </c>
      <c r="D10" s="4">
        <v>587</v>
      </c>
      <c r="E10" s="5">
        <f t="shared" si="0"/>
        <v>2.1169554790197811E-3</v>
      </c>
      <c r="F10" s="5">
        <f t="shared" si="6"/>
        <v>2.5</v>
      </c>
      <c r="G10" s="5">
        <f t="shared" si="7"/>
        <v>1.0529053551089226E-2</v>
      </c>
      <c r="H10" s="5">
        <f t="shared" si="1"/>
        <v>0.98947094644891076</v>
      </c>
      <c r="I10" s="6">
        <f t="shared" si="3"/>
        <v>96457.64766072201</v>
      </c>
      <c r="J10" s="6">
        <f t="shared" si="2"/>
        <v>1015.6077376318385</v>
      </c>
      <c r="K10" s="6">
        <f t="shared" si="8"/>
        <v>479749.21895953041</v>
      </c>
      <c r="L10" s="6">
        <f t="shared" si="4"/>
        <v>4800069.8922536243</v>
      </c>
      <c r="M10" s="13">
        <f t="shared" si="5"/>
        <v>49.763497334470394</v>
      </c>
    </row>
    <row r="11" spans="1:13">
      <c r="A11" s="3">
        <v>30</v>
      </c>
      <c r="B11" s="7">
        <v>5</v>
      </c>
      <c r="C11" s="10">
        <v>234851</v>
      </c>
      <c r="D11" s="4">
        <v>629</v>
      </c>
      <c r="E11" s="5">
        <f t="shared" si="0"/>
        <v>2.6782938969814904E-3</v>
      </c>
      <c r="F11" s="5">
        <f t="shared" si="6"/>
        <v>2.5</v>
      </c>
      <c r="G11" s="5">
        <f t="shared" si="7"/>
        <v>1.3302400142117853E-2</v>
      </c>
      <c r="H11" s="5">
        <f t="shared" si="1"/>
        <v>0.98669759985788219</v>
      </c>
      <c r="I11" s="6">
        <f t="shared" si="3"/>
        <v>95442.039923090168</v>
      </c>
      <c r="J11" s="6">
        <f t="shared" si="2"/>
        <v>1269.6082054369324</v>
      </c>
      <c r="K11" s="6">
        <f t="shared" si="8"/>
        <v>474036.17910185852</v>
      </c>
      <c r="L11" s="6">
        <f t="shared" si="4"/>
        <v>4320320.6732940935</v>
      </c>
      <c r="M11" s="13">
        <f t="shared" si="5"/>
        <v>45.266432661912162</v>
      </c>
    </row>
    <row r="12" spans="1:13">
      <c r="A12" s="3">
        <v>35</v>
      </c>
      <c r="B12" s="7">
        <v>5</v>
      </c>
      <c r="C12" s="10">
        <v>195551</v>
      </c>
      <c r="D12" s="4">
        <v>704</v>
      </c>
      <c r="E12" s="5">
        <f t="shared" si="0"/>
        <v>3.6000838655900506E-3</v>
      </c>
      <c r="F12" s="5">
        <f t="shared" si="6"/>
        <v>2.5</v>
      </c>
      <c r="G12" s="5">
        <f t="shared" si="7"/>
        <v>1.7839856875693703E-2</v>
      </c>
      <c r="H12" s="5">
        <f t="shared" si="1"/>
        <v>0.98216014312430633</v>
      </c>
      <c r="I12" s="6">
        <f t="shared" si="3"/>
        <v>94172.431717653235</v>
      </c>
      <c r="J12" s="6">
        <f t="shared" si="2"/>
        <v>1680.0227034789718</v>
      </c>
      <c r="K12" s="6">
        <f t="shared" si="8"/>
        <v>466662.10182956874</v>
      </c>
      <c r="L12" s="6">
        <f t="shared" si="4"/>
        <v>3846284.4941922347</v>
      </c>
      <c r="M12" s="13">
        <f t="shared" si="5"/>
        <v>40.842998572279868</v>
      </c>
    </row>
    <row r="13" spans="1:13">
      <c r="A13" s="3">
        <v>40</v>
      </c>
      <c r="B13" s="7">
        <v>5</v>
      </c>
      <c r="C13" s="10">
        <v>178592</v>
      </c>
      <c r="D13" s="4">
        <v>859</v>
      </c>
      <c r="E13" s="5">
        <f t="shared" si="0"/>
        <v>4.8098459057516578E-3</v>
      </c>
      <c r="F13" s="5">
        <f t="shared" si="6"/>
        <v>2.5</v>
      </c>
      <c r="G13" s="5">
        <f t="shared" si="7"/>
        <v>2.3763482802597109E-2</v>
      </c>
      <c r="H13" s="5">
        <f t="shared" si="1"/>
        <v>0.9762365171974029</v>
      </c>
      <c r="I13" s="6">
        <f t="shared" si="3"/>
        <v>92492.409014174264</v>
      </c>
      <c r="J13" s="6">
        <f t="shared" si="2"/>
        <v>2197.9417709791078</v>
      </c>
      <c r="K13" s="6">
        <f t="shared" si="8"/>
        <v>456967.19064342359</v>
      </c>
      <c r="L13" s="6">
        <f t="shared" si="4"/>
        <v>3379622.3923626659</v>
      </c>
      <c r="M13" s="13">
        <f t="shared" si="5"/>
        <v>36.539456895805863</v>
      </c>
    </row>
    <row r="14" spans="1:13">
      <c r="A14" s="3">
        <v>45</v>
      </c>
      <c r="B14" s="7">
        <v>5</v>
      </c>
      <c r="C14" s="10">
        <v>168120</v>
      </c>
      <c r="D14" s="9">
        <v>1053</v>
      </c>
      <c r="E14" s="5">
        <f t="shared" si="0"/>
        <v>6.2633832976445392E-3</v>
      </c>
      <c r="F14" s="5">
        <f t="shared" si="6"/>
        <v>2.5</v>
      </c>
      <c r="G14" s="5">
        <f t="shared" si="7"/>
        <v>3.083410198972197E-2</v>
      </c>
      <c r="H14" s="5">
        <f t="shared" si="1"/>
        <v>0.96916589801027808</v>
      </c>
      <c r="I14" s="6">
        <f t="shared" si="3"/>
        <v>90294.467243195162</v>
      </c>
      <c r="J14" s="6">
        <f t="shared" si="2"/>
        <v>2784.1488120842891</v>
      </c>
      <c r="K14" s="6">
        <f t="shared" si="8"/>
        <v>444511.96418576513</v>
      </c>
      <c r="L14" s="6">
        <f t="shared" si="4"/>
        <v>2922655.2017192421</v>
      </c>
      <c r="M14" s="13">
        <f t="shared" si="5"/>
        <v>32.368043036872798</v>
      </c>
    </row>
    <row r="15" spans="1:13">
      <c r="A15" s="3">
        <v>50</v>
      </c>
      <c r="B15" s="7">
        <v>5</v>
      </c>
      <c r="C15" s="10">
        <v>145806</v>
      </c>
      <c r="D15" s="9">
        <v>1177</v>
      </c>
      <c r="E15" s="5">
        <f t="shared" si="0"/>
        <v>8.0723701356597115E-3</v>
      </c>
      <c r="F15" s="5">
        <f t="shared" si="6"/>
        <v>2.5</v>
      </c>
      <c r="G15" s="5">
        <f t="shared" si="7"/>
        <v>3.9563424168983223E-2</v>
      </c>
      <c r="H15" s="5">
        <f t="shared" si="1"/>
        <v>0.96043657583101683</v>
      </c>
      <c r="I15" s="6">
        <f t="shared" si="3"/>
        <v>87510.318431110878</v>
      </c>
      <c r="J15" s="6">
        <f t="shared" si="2"/>
        <v>3462.2078472528301</v>
      </c>
      <c r="K15" s="6">
        <f t="shared" si="8"/>
        <v>428896.07253742235</v>
      </c>
      <c r="L15" s="6">
        <f t="shared" si="4"/>
        <v>2478143.2375334771</v>
      </c>
      <c r="M15" s="13">
        <f t="shared" si="5"/>
        <v>28.318297567209743</v>
      </c>
    </row>
    <row r="16" spans="1:13">
      <c r="A16" s="3">
        <v>55</v>
      </c>
      <c r="B16" s="7">
        <v>5</v>
      </c>
      <c r="C16" s="10">
        <v>122143</v>
      </c>
      <c r="D16" s="9">
        <v>1428</v>
      </c>
      <c r="E16" s="5">
        <f t="shared" si="0"/>
        <v>1.1691214396240473E-2</v>
      </c>
      <c r="F16" s="5">
        <f t="shared" si="6"/>
        <v>2.5</v>
      </c>
      <c r="G16" s="5">
        <f t="shared" si="7"/>
        <v>5.6796035413998559E-2</v>
      </c>
      <c r="H16" s="5">
        <f t="shared" si="1"/>
        <v>0.94320396458600142</v>
      </c>
      <c r="I16" s="6">
        <f t="shared" si="3"/>
        <v>84048.110583858055</v>
      </c>
      <c r="J16" s="6">
        <f t="shared" si="2"/>
        <v>4773.5994652004692</v>
      </c>
      <c r="K16" s="6">
        <f t="shared" si="8"/>
        <v>408306.55425628909</v>
      </c>
      <c r="L16" s="6">
        <f t="shared" si="4"/>
        <v>2049247.1649960547</v>
      </c>
      <c r="M16" s="13">
        <f t="shared" si="5"/>
        <v>24.381835008074827</v>
      </c>
    </row>
    <row r="17" spans="1:13">
      <c r="A17" s="3">
        <v>60</v>
      </c>
      <c r="B17" s="7">
        <v>5</v>
      </c>
      <c r="C17" s="10">
        <v>96456</v>
      </c>
      <c r="D17" s="9">
        <v>1667</v>
      </c>
      <c r="E17" s="5">
        <f t="shared" si="0"/>
        <v>1.7282491498714438E-2</v>
      </c>
      <c r="F17" s="5">
        <f t="shared" si="6"/>
        <v>2.5</v>
      </c>
      <c r="G17" s="5">
        <f t="shared" si="7"/>
        <v>8.2833532922229905E-2</v>
      </c>
      <c r="H17" s="5">
        <f t="shared" si="1"/>
        <v>0.91716646707777005</v>
      </c>
      <c r="I17" s="6">
        <f t="shared" si="3"/>
        <v>79274.511118657581</v>
      </c>
      <c r="J17" s="6">
        <f t="shared" si="2"/>
        <v>6566.5878266410036</v>
      </c>
      <c r="K17" s="6">
        <f t="shared" si="8"/>
        <v>379956.08602668543</v>
      </c>
      <c r="L17" s="6">
        <f t="shared" si="4"/>
        <v>1640940.6107397657</v>
      </c>
      <c r="M17" s="13">
        <f t="shared" si="5"/>
        <v>20.69947310408028</v>
      </c>
    </row>
    <row r="18" spans="1:13">
      <c r="A18" s="3">
        <v>65</v>
      </c>
      <c r="B18" s="7">
        <v>5</v>
      </c>
      <c r="C18" s="10">
        <v>71907</v>
      </c>
      <c r="D18" s="9">
        <v>1766</v>
      </c>
      <c r="E18" s="5">
        <f t="shared" si="0"/>
        <v>2.4559500465879538E-2</v>
      </c>
      <c r="F18" s="5">
        <f t="shared" si="6"/>
        <v>2.5</v>
      </c>
      <c r="G18" s="5">
        <f t="shared" si="7"/>
        <v>0.11569403317523125</v>
      </c>
      <c r="H18" s="5">
        <f t="shared" si="1"/>
        <v>0.88430596682476881</v>
      </c>
      <c r="I18" s="6">
        <f t="shared" si="3"/>
        <v>72707.923292016581</v>
      </c>
      <c r="J18" s="6">
        <f t="shared" si="2"/>
        <v>8411.8728894487358</v>
      </c>
      <c r="K18" s="6">
        <f t="shared" si="8"/>
        <v>342509.93423646106</v>
      </c>
      <c r="L18" s="6">
        <f t="shared" si="4"/>
        <v>1260984.5247130804</v>
      </c>
      <c r="M18" s="13">
        <f t="shared" si="5"/>
        <v>17.343151442361965</v>
      </c>
    </row>
    <row r="19" spans="1:13">
      <c r="A19" s="3">
        <v>70</v>
      </c>
      <c r="B19" s="7">
        <v>5</v>
      </c>
      <c r="C19" s="10">
        <v>55098</v>
      </c>
      <c r="D19" s="9">
        <v>1886</v>
      </c>
      <c r="E19" s="5">
        <f t="shared" si="0"/>
        <v>3.4229917601364838E-2</v>
      </c>
      <c r="F19" s="5">
        <f t="shared" si="6"/>
        <v>2.5</v>
      </c>
      <c r="G19" s="5">
        <f t="shared" si="7"/>
        <v>0.15765803420661059</v>
      </c>
      <c r="H19" s="5">
        <f t="shared" si="1"/>
        <v>0.84234196579338938</v>
      </c>
      <c r="I19" s="6">
        <f t="shared" si="3"/>
        <v>64296.050402567853</v>
      </c>
      <c r="J19" s="6">
        <f t="shared" si="2"/>
        <v>10136.788913718001</v>
      </c>
      <c r="K19" s="6">
        <f t="shared" si="8"/>
        <v>296138.27972854429</v>
      </c>
      <c r="L19" s="6">
        <f t="shared" si="4"/>
        <v>918474.5904766192</v>
      </c>
      <c r="M19" s="13">
        <f t="shared" si="5"/>
        <v>14.285085704734628</v>
      </c>
    </row>
    <row r="20" spans="1:13">
      <c r="A20" s="3">
        <v>75</v>
      </c>
      <c r="B20" s="7">
        <v>5</v>
      </c>
      <c r="C20" s="10">
        <v>39389</v>
      </c>
      <c r="D20" s="9">
        <v>1940</v>
      </c>
      <c r="E20" s="5">
        <f t="shared" si="0"/>
        <v>4.9252329330523752E-2</v>
      </c>
      <c r="F20" s="5">
        <f t="shared" si="6"/>
        <v>2.5</v>
      </c>
      <c r="G20" s="5">
        <f t="shared" si="7"/>
        <v>0.21926354574018403</v>
      </c>
      <c r="H20" s="5">
        <f t="shared" si="1"/>
        <v>0.78073645425981597</v>
      </c>
      <c r="I20" s="6">
        <f t="shared" si="3"/>
        <v>54159.26148884985</v>
      </c>
      <c r="J20" s="6">
        <f t="shared" si="2"/>
        <v>11875.151708715017</v>
      </c>
      <c r="K20" s="6">
        <f>(B20*I21)+(F20*J20)</f>
        <v>241108.42817246172</v>
      </c>
      <c r="L20" s="6">
        <f t="shared" si="4"/>
        <v>622336.3107480749</v>
      </c>
      <c r="M20" s="13">
        <f t="shared" si="5"/>
        <v>11.490856663106451</v>
      </c>
    </row>
    <row r="21" spans="1:13">
      <c r="A21" s="3">
        <v>80</v>
      </c>
      <c r="B21" s="7">
        <v>5</v>
      </c>
      <c r="C21" s="10">
        <v>25268</v>
      </c>
      <c r="D21" s="9">
        <v>1926</v>
      </c>
      <c r="E21" s="5">
        <f t="shared" si="0"/>
        <v>7.6222890612632585E-2</v>
      </c>
      <c r="F21" s="5">
        <f t="shared" si="6"/>
        <v>2.5</v>
      </c>
      <c r="G21" s="5">
        <f t="shared" si="7"/>
        <v>0.32011435029751023</v>
      </c>
      <c r="H21" s="5">
        <f t="shared" si="1"/>
        <v>0.67988564970248977</v>
      </c>
      <c r="I21" s="6">
        <f t="shared" si="3"/>
        <v>42284.109780134837</v>
      </c>
      <c r="J21" s="6">
        <f t="shared" si="2"/>
        <v>13535.750330176461</v>
      </c>
      <c r="K21" s="6">
        <f t="shared" ref="K21" si="9">(B21*I22)+(F21*J21)</f>
        <v>177581.17307523303</v>
      </c>
      <c r="L21" s="6">
        <f>K21+L22</f>
        <v>381227.88257561321</v>
      </c>
      <c r="M21" s="13">
        <f t="shared" si="5"/>
        <v>9.0158663516363031</v>
      </c>
    </row>
    <row r="22" spans="1:13">
      <c r="A22" s="3" t="s">
        <v>2</v>
      </c>
      <c r="B22" s="7">
        <v>5</v>
      </c>
      <c r="C22" s="10">
        <v>23086</v>
      </c>
      <c r="D22" s="9">
        <v>3259</v>
      </c>
      <c r="E22" s="5">
        <f t="shared" si="0"/>
        <v>0.14116780732911721</v>
      </c>
      <c r="F22" s="5">
        <f t="shared" si="6"/>
        <v>2.5</v>
      </c>
      <c r="G22" s="5">
        <v>1</v>
      </c>
      <c r="H22" s="5">
        <f t="shared" si="1"/>
        <v>0</v>
      </c>
      <c r="I22" s="6">
        <f>I21*H21</f>
        <v>28748.359449958374</v>
      </c>
      <c r="J22" s="6">
        <f t="shared" si="2"/>
        <v>28748.359449958374</v>
      </c>
      <c r="K22" s="6">
        <f>I22/E22</f>
        <v>203646.70950038018</v>
      </c>
      <c r="L22" s="6">
        <f>I22/E22</f>
        <v>203646.70950038018</v>
      </c>
      <c r="M22" s="13">
        <f t="shared" si="5"/>
        <v>7.0837680270021481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92AC-933A-4514-8519-C96FDD6F53C9}">
  <dimension ref="A1:M22"/>
  <sheetViews>
    <sheetView workbookViewId="0">
      <selection sqref="A1:D1"/>
    </sheetView>
  </sheetViews>
  <sheetFormatPr baseColWidth="10" defaultRowHeight="13.8"/>
  <cols>
    <col min="1" max="1" width="7.09765625" customWidth="1"/>
    <col min="2" max="2" width="6.19921875" customWidth="1"/>
    <col min="3" max="3" width="8.8984375" customWidth="1"/>
    <col min="4" max="4" width="7.296875" customWidth="1"/>
    <col min="5" max="5" width="7.3984375" customWidth="1"/>
    <col min="6" max="6" width="7.69921875" customWidth="1"/>
    <col min="7" max="7" width="7.296875" customWidth="1"/>
    <col min="8" max="8" width="7.5" customWidth="1"/>
    <col min="9" max="9" width="7.09765625" customWidth="1"/>
    <col min="10" max="10" width="7.5" customWidth="1"/>
    <col min="11" max="11" width="7.3984375" customWidth="1"/>
    <col min="12" max="12" width="9.3984375" customWidth="1"/>
    <col min="13" max="13" width="8.59765625" customWidth="1"/>
  </cols>
  <sheetData>
    <row r="1" spans="1:13">
      <c r="A1" s="16" t="s">
        <v>7</v>
      </c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</row>
    <row r="3" spans="1:13" ht="16.2">
      <c r="A3" s="12" t="s">
        <v>0</v>
      </c>
      <c r="B3" s="12" t="s">
        <v>1</v>
      </c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18</v>
      </c>
      <c r="M3" s="12"/>
    </row>
    <row r="4" spans="1:13">
      <c r="A4" s="3">
        <v>0</v>
      </c>
      <c r="B4" s="3">
        <v>1</v>
      </c>
      <c r="C4" s="8">
        <v>63099</v>
      </c>
      <c r="D4" s="11">
        <v>554</v>
      </c>
      <c r="E4" s="5">
        <f>D4/C4</f>
        <v>8.77985388041015E-3</v>
      </c>
      <c r="F4" s="14">
        <f>0.053 + 2.8 * E4</f>
        <v>7.7583590865148419E-2</v>
      </c>
      <c r="G4" s="5">
        <f>(B4*E4)/(1+(B4-F4)*E4)</f>
        <v>8.7093198745017645E-3</v>
      </c>
      <c r="H4" s="5">
        <f>1-G4</f>
        <v>0.99129068012549826</v>
      </c>
      <c r="I4" s="6">
        <v>100000</v>
      </c>
      <c r="J4" s="6">
        <f>I4*G4</f>
        <v>870.93198745017639</v>
      </c>
      <c r="K4" s="6">
        <f>(B4*I5)+(F4*J4)</f>
        <v>99196.638043535539</v>
      </c>
      <c r="L4" s="6">
        <f>K4+L5</f>
        <v>7202143.3530386398</v>
      </c>
      <c r="M4" s="13">
        <f>L4/I4</f>
        <v>72.021433530386403</v>
      </c>
    </row>
    <row r="5" spans="1:13">
      <c r="A5" s="7">
        <v>1</v>
      </c>
      <c r="B5" s="7">
        <v>4</v>
      </c>
      <c r="C5" s="8">
        <v>61789</v>
      </c>
      <c r="D5" s="4">
        <v>74</v>
      </c>
      <c r="E5" s="5">
        <f t="shared" ref="E5:E22" si="0">D5/C5</f>
        <v>1.1976241725873537E-3</v>
      </c>
      <c r="F5" s="15">
        <f>1.522 - 1.518 * E4</f>
        <v>1.5086721818095374</v>
      </c>
      <c r="G5" s="5">
        <f>(B5*E5)/(1+(B5-F5)*E5)</f>
        <v>4.7762459275664916E-3</v>
      </c>
      <c r="H5" s="5">
        <f t="shared" ref="H5:H22" si="1">1-G5</f>
        <v>0.99522375407243346</v>
      </c>
      <c r="I5" s="6">
        <f>I4*H4</f>
        <v>99129.068012549833</v>
      </c>
      <c r="J5" s="6">
        <f t="shared" ref="J5:J22" si="2">I5*G5</f>
        <v>473.46480739840291</v>
      </c>
      <c r="K5" s="6">
        <f>(B5*I6)+(F5*J5)</f>
        <v>395336.71600459347</v>
      </c>
      <c r="L5" s="6">
        <f>K5+L6</f>
        <v>7102946.7149951039</v>
      </c>
      <c r="M5" s="13">
        <f>L5/I5</f>
        <v>71.653520580823624</v>
      </c>
    </row>
    <row r="6" spans="1:13">
      <c r="A6" s="7">
        <v>5</v>
      </c>
      <c r="B6" s="7">
        <v>5</v>
      </c>
      <c r="C6" s="10">
        <v>299322</v>
      </c>
      <c r="D6" s="4">
        <v>65</v>
      </c>
      <c r="E6" s="5">
        <f t="shared" si="0"/>
        <v>2.1715744248668658E-4</v>
      </c>
      <c r="F6" s="5">
        <f>B6/2</f>
        <v>2.5</v>
      </c>
      <c r="G6" s="5">
        <f>(B6*E6)/(1+(B6-F6)*E6)</f>
        <v>1.0851980653422801E-3</v>
      </c>
      <c r="H6" s="5">
        <f t="shared" si="1"/>
        <v>0.99891480193465776</v>
      </c>
      <c r="I6" s="6">
        <f t="shared" ref="I6:I21" si="3">I5*H5</f>
        <v>98655.603205151419</v>
      </c>
      <c r="J6" s="6">
        <f t="shared" si="2"/>
        <v>107.06086973340597</v>
      </c>
      <c r="K6" s="6">
        <f>(B6*I7)+(F6*J6)</f>
        <v>493010.36385142367</v>
      </c>
      <c r="L6" s="6">
        <f t="shared" ref="L6:L20" si="4">K6+L7</f>
        <v>6707609.9989905106</v>
      </c>
      <c r="M6" s="13">
        <f t="shared" ref="M6:M22" si="5">L6/I6</f>
        <v>67.990157487986096</v>
      </c>
    </row>
    <row r="7" spans="1:13">
      <c r="A7" s="7">
        <v>10</v>
      </c>
      <c r="B7" s="7">
        <v>5</v>
      </c>
      <c r="C7" s="10">
        <v>309958</v>
      </c>
      <c r="D7" s="4">
        <v>96</v>
      </c>
      <c r="E7" s="5">
        <f t="shared" si="0"/>
        <v>3.0971938133553576E-4</v>
      </c>
      <c r="F7" s="5">
        <f t="shared" ref="F7:F22" si="6">B7/2</f>
        <v>2.5</v>
      </c>
      <c r="G7" s="5">
        <f t="shared" ref="G7:G21" si="7">(B7*E7)/(1+(B7-F7)*E7)</f>
        <v>1.5473987582124967E-3</v>
      </c>
      <c r="H7" s="5">
        <f t="shared" si="1"/>
        <v>0.99845260124178747</v>
      </c>
      <c r="I7" s="6">
        <f t="shared" si="3"/>
        <v>98548.542335418024</v>
      </c>
      <c r="J7" s="6">
        <f t="shared" si="2"/>
        <v>152.49389203347749</v>
      </c>
      <c r="K7" s="6">
        <f t="shared" ref="K7:K19" si="8">(B7*I8)+(F7*J7)</f>
        <v>492361.47694700636</v>
      </c>
      <c r="L7" s="6">
        <f t="shared" si="4"/>
        <v>6214599.6351390872</v>
      </c>
      <c r="M7" s="13">
        <f t="shared" si="5"/>
        <v>63.061304488778624</v>
      </c>
    </row>
    <row r="8" spans="1:13">
      <c r="A8" s="3">
        <v>15</v>
      </c>
      <c r="B8" s="7">
        <v>5</v>
      </c>
      <c r="C8" s="10">
        <v>311793</v>
      </c>
      <c r="D8" s="4">
        <v>140</v>
      </c>
      <c r="E8" s="5">
        <f t="shared" si="0"/>
        <v>4.4901585346688347E-4</v>
      </c>
      <c r="F8" s="5">
        <f t="shared" si="6"/>
        <v>2.5</v>
      </c>
      <c r="G8" s="5">
        <f t="shared" si="7"/>
        <v>2.2425619027176646E-3</v>
      </c>
      <c r="H8" s="5">
        <f t="shared" si="1"/>
        <v>0.99775743809728235</v>
      </c>
      <c r="I8" s="6">
        <f t="shared" si="3"/>
        <v>98396.048443384541</v>
      </c>
      <c r="J8" s="6">
        <f t="shared" si="2"/>
        <v>220.65922961709595</v>
      </c>
      <c r="K8" s="6">
        <f t="shared" si="8"/>
        <v>491428.59414287994</v>
      </c>
      <c r="L8" s="6">
        <f t="shared" si="4"/>
        <v>5722238.1581920804</v>
      </c>
      <c r="M8" s="13">
        <f t="shared" si="5"/>
        <v>58.155162211463825</v>
      </c>
    </row>
    <row r="9" spans="1:13">
      <c r="A9" s="3">
        <v>20</v>
      </c>
      <c r="B9" s="7">
        <v>5</v>
      </c>
      <c r="C9" s="10">
        <v>309114</v>
      </c>
      <c r="D9" s="4">
        <v>202</v>
      </c>
      <c r="E9" s="5">
        <f t="shared" si="0"/>
        <v>6.5348059292041124E-4</v>
      </c>
      <c r="F9" s="5">
        <f t="shared" si="6"/>
        <v>2.5</v>
      </c>
      <c r="G9" s="5">
        <f t="shared" si="7"/>
        <v>3.2620737099467406E-3</v>
      </c>
      <c r="H9" s="5">
        <f t="shared" si="1"/>
        <v>0.99673792629005331</v>
      </c>
      <c r="I9" s="6">
        <f t="shared" si="3"/>
        <v>98175.389213767441</v>
      </c>
      <c r="J9" s="6">
        <f t="shared" si="2"/>
        <v>320.25535611801956</v>
      </c>
      <c r="K9" s="6">
        <f t="shared" si="8"/>
        <v>490076.30767854216</v>
      </c>
      <c r="L9" s="6">
        <f t="shared" si="4"/>
        <v>5230809.5640492002</v>
      </c>
      <c r="M9" s="13">
        <f t="shared" si="5"/>
        <v>53.280252881499834</v>
      </c>
    </row>
    <row r="10" spans="1:13">
      <c r="A10" s="3">
        <v>25</v>
      </c>
      <c r="B10" s="7">
        <v>5</v>
      </c>
      <c r="C10" s="10">
        <v>296054</v>
      </c>
      <c r="D10" s="4">
        <v>278</v>
      </c>
      <c r="E10" s="5">
        <f t="shared" si="0"/>
        <v>9.3901788187290152E-4</v>
      </c>
      <c r="F10" s="5">
        <f t="shared" si="6"/>
        <v>2.5</v>
      </c>
      <c r="G10" s="5">
        <f t="shared" si="7"/>
        <v>4.6840932909630699E-3</v>
      </c>
      <c r="H10" s="5">
        <f t="shared" si="1"/>
        <v>0.99531590670903691</v>
      </c>
      <c r="I10" s="6">
        <f t="shared" si="3"/>
        <v>97855.133857649431</v>
      </c>
      <c r="J10" s="6">
        <f t="shared" si="2"/>
        <v>458.36257598890887</v>
      </c>
      <c r="K10" s="6">
        <f t="shared" si="8"/>
        <v>488129.7628482749</v>
      </c>
      <c r="L10" s="6">
        <f t="shared" si="4"/>
        <v>4740733.2563706581</v>
      </c>
      <c r="M10" s="13">
        <f t="shared" si="5"/>
        <v>48.446443936881607</v>
      </c>
    </row>
    <row r="11" spans="1:13">
      <c r="A11" s="3">
        <v>30</v>
      </c>
      <c r="B11" s="7">
        <v>5</v>
      </c>
      <c r="C11" s="10">
        <v>271786</v>
      </c>
      <c r="D11" s="4">
        <v>352</v>
      </c>
      <c r="E11" s="5">
        <f t="shared" si="0"/>
        <v>1.295136614836673E-3</v>
      </c>
      <c r="F11" s="5">
        <f t="shared" si="6"/>
        <v>2.5</v>
      </c>
      <c r="G11" s="5">
        <f t="shared" si="7"/>
        <v>6.4547835080281373E-3</v>
      </c>
      <c r="H11" s="5">
        <f t="shared" si="1"/>
        <v>0.99354521649197192</v>
      </c>
      <c r="I11" s="6">
        <f t="shared" si="3"/>
        <v>97396.77128166052</v>
      </c>
      <c r="J11" s="6">
        <f t="shared" si="2"/>
        <v>628.67507300405089</v>
      </c>
      <c r="K11" s="6">
        <f t="shared" si="8"/>
        <v>485412.16872579243</v>
      </c>
      <c r="L11" s="6">
        <f t="shared" si="4"/>
        <v>4252603.4935223833</v>
      </c>
      <c r="M11" s="13">
        <f t="shared" si="5"/>
        <v>43.662674209438954</v>
      </c>
    </row>
    <row r="12" spans="1:13">
      <c r="A12" s="3">
        <v>35</v>
      </c>
      <c r="B12" s="7">
        <v>5</v>
      </c>
      <c r="C12" s="10">
        <v>246953</v>
      </c>
      <c r="D12" s="4">
        <v>541</v>
      </c>
      <c r="E12" s="5">
        <f t="shared" si="0"/>
        <v>2.1907002547043365E-3</v>
      </c>
      <c r="F12" s="5">
        <f t="shared" si="6"/>
        <v>2.5</v>
      </c>
      <c r="G12" s="5">
        <f t="shared" si="7"/>
        <v>1.0893838436925481E-2</v>
      </c>
      <c r="H12" s="5">
        <f t="shared" si="1"/>
        <v>0.98910616156307452</v>
      </c>
      <c r="I12" s="6">
        <f t="shared" si="3"/>
        <v>96768.096208656469</v>
      </c>
      <c r="J12" s="6">
        <f t="shared" si="2"/>
        <v>1054.1760059459648</v>
      </c>
      <c r="K12" s="6">
        <f t="shared" si="8"/>
        <v>481205.04102841741</v>
      </c>
      <c r="L12" s="6">
        <f t="shared" si="4"/>
        <v>3767191.324796591</v>
      </c>
      <c r="M12" s="13">
        <f t="shared" si="5"/>
        <v>38.930096513148037</v>
      </c>
    </row>
    <row r="13" spans="1:13">
      <c r="A13" s="3">
        <v>40</v>
      </c>
      <c r="B13" s="7">
        <v>5</v>
      </c>
      <c r="C13" s="10">
        <v>225530</v>
      </c>
      <c r="D13" s="4">
        <v>755</v>
      </c>
      <c r="E13" s="5">
        <f t="shared" si="0"/>
        <v>3.3476699330466015E-3</v>
      </c>
      <c r="F13" s="5">
        <f t="shared" si="6"/>
        <v>2.5</v>
      </c>
      <c r="G13" s="5">
        <f t="shared" si="7"/>
        <v>1.6599426165532557E-2</v>
      </c>
      <c r="H13" s="5">
        <f t="shared" si="1"/>
        <v>0.98340057383446744</v>
      </c>
      <c r="I13" s="6">
        <f t="shared" si="3"/>
        <v>95713.920202710506</v>
      </c>
      <c r="J13" s="6">
        <f t="shared" si="2"/>
        <v>1588.7961514185679</v>
      </c>
      <c r="K13" s="6">
        <f t="shared" si="8"/>
        <v>474597.6106350061</v>
      </c>
      <c r="L13" s="6">
        <f t="shared" si="4"/>
        <v>3285986.2837681733</v>
      </c>
      <c r="M13" s="13">
        <f t="shared" si="5"/>
        <v>34.331331083387369</v>
      </c>
    </row>
    <row r="14" spans="1:13">
      <c r="A14" s="3">
        <v>45</v>
      </c>
      <c r="B14" s="7">
        <v>5</v>
      </c>
      <c r="C14" s="10">
        <v>209317</v>
      </c>
      <c r="D14" s="9">
        <v>1168</v>
      </c>
      <c r="E14" s="5">
        <f t="shared" si="0"/>
        <v>5.5800532207130812E-3</v>
      </c>
      <c r="F14" s="5">
        <f t="shared" si="6"/>
        <v>2.5</v>
      </c>
      <c r="G14" s="5">
        <f t="shared" si="7"/>
        <v>2.7516408543279452E-2</v>
      </c>
      <c r="H14" s="5">
        <f t="shared" si="1"/>
        <v>0.97248359145672059</v>
      </c>
      <c r="I14" s="6">
        <f t="shared" si="3"/>
        <v>94125.124051291932</v>
      </c>
      <c r="J14" s="6">
        <f t="shared" si="2"/>
        <v>2589.9853675822073</v>
      </c>
      <c r="K14" s="6">
        <f t="shared" si="8"/>
        <v>464150.65683750412</v>
      </c>
      <c r="L14" s="6">
        <f t="shared" si="4"/>
        <v>2811388.6731331674</v>
      </c>
      <c r="M14" s="13">
        <f t="shared" si="5"/>
        <v>29.868631796980662</v>
      </c>
    </row>
    <row r="15" spans="1:13">
      <c r="A15" s="3">
        <v>50</v>
      </c>
      <c r="B15" s="7">
        <v>5</v>
      </c>
      <c r="C15" s="10">
        <v>178914</v>
      </c>
      <c r="D15" s="9">
        <v>1576</v>
      </c>
      <c r="E15" s="5">
        <f t="shared" si="0"/>
        <v>8.8087013872586821E-3</v>
      </c>
      <c r="F15" s="5">
        <f t="shared" si="6"/>
        <v>2.5</v>
      </c>
      <c r="G15" s="5">
        <f t="shared" si="7"/>
        <v>4.3094490686558677E-2</v>
      </c>
      <c r="H15" s="5">
        <f t="shared" si="1"/>
        <v>0.95690550931344132</v>
      </c>
      <c r="I15" s="6">
        <f t="shared" si="3"/>
        <v>91535.138683709723</v>
      </c>
      <c r="J15" s="6">
        <f t="shared" si="2"/>
        <v>3944.6601814979854</v>
      </c>
      <c r="K15" s="6">
        <f t="shared" si="8"/>
        <v>447814.0429648037</v>
      </c>
      <c r="L15" s="6">
        <f t="shared" si="4"/>
        <v>2347238.0162956635</v>
      </c>
      <c r="M15" s="13">
        <f t="shared" si="5"/>
        <v>25.643026820621351</v>
      </c>
    </row>
    <row r="16" spans="1:13">
      <c r="A16" s="3">
        <v>55</v>
      </c>
      <c r="B16" s="7">
        <v>5</v>
      </c>
      <c r="C16" s="10">
        <v>149374</v>
      </c>
      <c r="D16" s="9">
        <v>2078</v>
      </c>
      <c r="E16" s="5">
        <f t="shared" si="0"/>
        <v>1.391139020177541E-2</v>
      </c>
      <c r="F16" s="5">
        <f t="shared" si="6"/>
        <v>2.5</v>
      </c>
      <c r="G16" s="5">
        <f t="shared" si="7"/>
        <v>6.7219170726342287E-2</v>
      </c>
      <c r="H16" s="5">
        <f t="shared" si="1"/>
        <v>0.93278082927365769</v>
      </c>
      <c r="I16" s="6">
        <f t="shared" si="3"/>
        <v>87590.478502211743</v>
      </c>
      <c r="J16" s="6">
        <f t="shared" si="2"/>
        <v>5887.7593284421846</v>
      </c>
      <c r="K16" s="6">
        <f t="shared" si="8"/>
        <v>423232.99418995326</v>
      </c>
      <c r="L16" s="6">
        <f t="shared" si="4"/>
        <v>1899423.9733308598</v>
      </c>
      <c r="M16" s="13">
        <f t="shared" si="5"/>
        <v>21.685279105797985</v>
      </c>
    </row>
    <row r="17" spans="1:13">
      <c r="A17" s="3">
        <v>60</v>
      </c>
      <c r="B17" s="7">
        <v>5</v>
      </c>
      <c r="C17" s="10">
        <v>119578</v>
      </c>
      <c r="D17" s="9">
        <v>2751</v>
      </c>
      <c r="E17" s="5">
        <f t="shared" si="0"/>
        <v>2.3005904096071183E-2</v>
      </c>
      <c r="F17" s="5">
        <f t="shared" si="6"/>
        <v>2.5</v>
      </c>
      <c r="G17" s="5">
        <f t="shared" si="7"/>
        <v>0.10877344204087604</v>
      </c>
      <c r="H17" s="5">
        <f t="shared" si="1"/>
        <v>0.89122655795912398</v>
      </c>
      <c r="I17" s="6">
        <f t="shared" si="3"/>
        <v>81702.719173769554</v>
      </c>
      <c r="J17" s="6">
        <f t="shared" si="2"/>
        <v>8887.0859886299932</v>
      </c>
      <c r="K17" s="6">
        <f t="shared" si="8"/>
        <v>386295.88089727284</v>
      </c>
      <c r="L17" s="6">
        <f t="shared" si="4"/>
        <v>1476190.9791409066</v>
      </c>
      <c r="M17" s="13">
        <f t="shared" si="5"/>
        <v>18.067831696045115</v>
      </c>
    </row>
    <row r="18" spans="1:13">
      <c r="A18" s="3">
        <v>65</v>
      </c>
      <c r="B18" s="7">
        <v>5</v>
      </c>
      <c r="C18" s="10">
        <v>90794</v>
      </c>
      <c r="D18" s="9">
        <v>2909</v>
      </c>
      <c r="E18" s="5">
        <f t="shared" si="0"/>
        <v>3.2039562085600368E-2</v>
      </c>
      <c r="F18" s="5">
        <f t="shared" si="6"/>
        <v>2.5</v>
      </c>
      <c r="G18" s="5">
        <f t="shared" si="7"/>
        <v>0.14831772317763967</v>
      </c>
      <c r="H18" s="5">
        <f t="shared" si="1"/>
        <v>0.85168227682236031</v>
      </c>
      <c r="I18" s="6">
        <f t="shared" si="3"/>
        <v>72815.633185139566</v>
      </c>
      <c r="J18" s="6">
        <f t="shared" si="2"/>
        <v>10799.848925758082</v>
      </c>
      <c r="K18" s="6">
        <f t="shared" si="8"/>
        <v>337078.54361130262</v>
      </c>
      <c r="L18" s="6">
        <f t="shared" si="4"/>
        <v>1089895.0982436338</v>
      </c>
      <c r="M18" s="13">
        <f t="shared" si="5"/>
        <v>14.967872290178242</v>
      </c>
    </row>
    <row r="19" spans="1:13">
      <c r="A19" s="3">
        <v>70</v>
      </c>
      <c r="B19" s="7">
        <v>5</v>
      </c>
      <c r="C19" s="10">
        <v>67613</v>
      </c>
      <c r="D19" s="9">
        <v>2860</v>
      </c>
      <c r="E19" s="5">
        <f t="shared" si="0"/>
        <v>4.2299557777350512E-2</v>
      </c>
      <c r="F19" s="5">
        <f t="shared" si="6"/>
        <v>2.5</v>
      </c>
      <c r="G19" s="5">
        <f t="shared" si="7"/>
        <v>0.19127108328986264</v>
      </c>
      <c r="H19" s="5">
        <f t="shared" si="1"/>
        <v>0.80872891671013736</v>
      </c>
      <c r="I19" s="6">
        <f t="shared" si="3"/>
        <v>62015.784259381478</v>
      </c>
      <c r="J19" s="6">
        <f t="shared" si="2"/>
        <v>11861.826236362307</v>
      </c>
      <c r="K19" s="6">
        <f t="shared" si="8"/>
        <v>280424.35570600163</v>
      </c>
      <c r="L19" s="6">
        <f t="shared" si="4"/>
        <v>752816.55463233124</v>
      </c>
      <c r="M19" s="13">
        <f t="shared" si="5"/>
        <v>12.13911206030501</v>
      </c>
    </row>
    <row r="20" spans="1:13">
      <c r="A20" s="3">
        <v>75</v>
      </c>
      <c r="B20" s="7">
        <v>5</v>
      </c>
      <c r="C20" s="10">
        <v>49850</v>
      </c>
      <c r="D20" s="9">
        <v>3076</v>
      </c>
      <c r="E20" s="5">
        <f t="shared" si="0"/>
        <v>6.1705115346038113E-2</v>
      </c>
      <c r="F20" s="5">
        <f t="shared" si="6"/>
        <v>2.5</v>
      </c>
      <c r="G20" s="5">
        <f t="shared" si="7"/>
        <v>0.26729231838720885</v>
      </c>
      <c r="H20" s="5">
        <f t="shared" si="1"/>
        <v>0.7327076816127911</v>
      </c>
      <c r="I20" s="6">
        <f t="shared" si="3"/>
        <v>50153.958023019171</v>
      </c>
      <c r="J20" s="6">
        <f t="shared" si="2"/>
        <v>13405.767716267548</v>
      </c>
      <c r="K20" s="6">
        <f>(B20*I21)+(F20*J20)</f>
        <v>217255.37082442694</v>
      </c>
      <c r="L20" s="6">
        <f t="shared" si="4"/>
        <v>472392.19892632961</v>
      </c>
      <c r="M20" s="13">
        <f t="shared" si="5"/>
        <v>9.4188418531098925</v>
      </c>
    </row>
    <row r="21" spans="1:13">
      <c r="A21" s="3">
        <v>80</v>
      </c>
      <c r="B21" s="7">
        <v>5</v>
      </c>
      <c r="C21" s="10">
        <v>32866</v>
      </c>
      <c r="D21" s="9">
        <v>3277</v>
      </c>
      <c r="E21" s="5">
        <f t="shared" si="0"/>
        <v>9.9707904825655697E-2</v>
      </c>
      <c r="F21" s="5">
        <f t="shared" si="6"/>
        <v>2.5</v>
      </c>
      <c r="G21" s="5">
        <f t="shared" si="7"/>
        <v>0.3990647490775357</v>
      </c>
      <c r="H21" s="5">
        <f t="shared" si="1"/>
        <v>0.60093525092246436</v>
      </c>
      <c r="I21" s="6">
        <f t="shared" si="3"/>
        <v>36748.190306751618</v>
      </c>
      <c r="J21" s="6">
        <f t="shared" si="2"/>
        <v>14664.907343817364</v>
      </c>
      <c r="K21" s="6">
        <f t="shared" ref="K21" si="9">(B21*I22)+(F21*J21)</f>
        <v>147078.68317421468</v>
      </c>
      <c r="L21" s="6">
        <f>K21+L22</f>
        <v>255136.82810190271</v>
      </c>
      <c r="M21" s="13">
        <f t="shared" si="5"/>
        <v>6.9428406126172506</v>
      </c>
    </row>
    <row r="22" spans="1:13">
      <c r="A22" s="3" t="s">
        <v>2</v>
      </c>
      <c r="B22" s="7">
        <v>5</v>
      </c>
      <c r="C22" s="10">
        <v>30196</v>
      </c>
      <c r="D22" s="9">
        <v>6171</v>
      </c>
      <c r="E22" s="5">
        <f t="shared" si="0"/>
        <v>0.20436481653199098</v>
      </c>
      <c r="F22" s="5">
        <f t="shared" si="6"/>
        <v>2.5</v>
      </c>
      <c r="G22" s="5">
        <v>1</v>
      </c>
      <c r="H22" s="5">
        <f t="shared" si="1"/>
        <v>0</v>
      </c>
      <c r="I22" s="6">
        <f>I21*H21</f>
        <v>22083.282962934256</v>
      </c>
      <c r="J22" s="6">
        <f t="shared" si="2"/>
        <v>22083.282962934256</v>
      </c>
      <c r="K22" s="6">
        <f>I22/E22</f>
        <v>108058.14492768803</v>
      </c>
      <c r="L22" s="6">
        <f>I22/E22</f>
        <v>108058.14492768803</v>
      </c>
      <c r="M22" s="13">
        <f t="shared" si="5"/>
        <v>4.8932101766326372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BD14-8C5A-4E1B-B0D3-E5390566C163}">
  <dimension ref="A1:M22"/>
  <sheetViews>
    <sheetView workbookViewId="0">
      <selection activeCell="M19" sqref="M19"/>
    </sheetView>
  </sheetViews>
  <sheetFormatPr baseColWidth="10" defaultRowHeight="13.8"/>
  <cols>
    <col min="1" max="1" width="7.3984375" customWidth="1"/>
    <col min="2" max="2" width="7" customWidth="1"/>
    <col min="3" max="3" width="8.69921875" customWidth="1"/>
    <col min="4" max="4" width="8.19921875" customWidth="1"/>
    <col min="5" max="5" width="7.59765625" customWidth="1"/>
    <col min="6" max="6" width="7.796875" customWidth="1"/>
    <col min="7" max="7" width="6.3984375" customWidth="1"/>
    <col min="8" max="8" width="7.8984375" customWidth="1"/>
    <col min="9" max="9" width="6.69921875" customWidth="1"/>
    <col min="10" max="10" width="6.796875" customWidth="1"/>
    <col min="11" max="11" width="8.8984375" customWidth="1"/>
    <col min="12" max="12" width="9.796875" customWidth="1"/>
    <col min="13" max="13" width="7.3984375" customWidth="1"/>
  </cols>
  <sheetData>
    <row r="1" spans="1:13">
      <c r="A1" s="16" t="s">
        <v>8</v>
      </c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</row>
    <row r="3" spans="1:13" ht="16.2">
      <c r="A3" s="12" t="s">
        <v>0</v>
      </c>
      <c r="B3" s="12" t="s">
        <v>1</v>
      </c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18</v>
      </c>
      <c r="M3" s="12"/>
    </row>
    <row r="4" spans="1:13">
      <c r="A4" s="3">
        <v>0</v>
      </c>
      <c r="B4" s="3">
        <v>1</v>
      </c>
      <c r="C4" s="8">
        <v>65585</v>
      </c>
      <c r="D4" s="8">
        <v>720</v>
      </c>
      <c r="E4" s="5">
        <f>D4/C4</f>
        <v>1.0978119996950522E-2</v>
      </c>
      <c r="F4" s="14">
        <f>0.053 + 2.8 * E4</f>
        <v>8.3738735991461449E-2</v>
      </c>
      <c r="G4" s="5">
        <f>(B4*E4)/(1+(B4-F4)*E4)</f>
        <v>1.0868792701199566E-2</v>
      </c>
      <c r="H4" s="5">
        <f>1-G4</f>
        <v>0.98913120729880044</v>
      </c>
      <c r="I4" s="6">
        <v>100000</v>
      </c>
      <c r="J4" s="6">
        <f>I4*G4</f>
        <v>1086.8792701199566</v>
      </c>
      <c r="K4" s="6">
        <f>(B4*I5)+(F4*J4)</f>
        <v>99004.134626135216</v>
      </c>
      <c r="L4" s="6">
        <f>K4+L5</f>
        <v>6461179.5693313088</v>
      </c>
      <c r="M4" s="13">
        <f>L4/I4</f>
        <v>64.611795693313084</v>
      </c>
    </row>
    <row r="5" spans="1:13">
      <c r="A5" s="7">
        <v>1</v>
      </c>
      <c r="B5" s="7">
        <v>4</v>
      </c>
      <c r="C5" s="8">
        <v>64107</v>
      </c>
      <c r="D5" s="4">
        <v>66</v>
      </c>
      <c r="E5" s="5">
        <f t="shared" ref="E5:E22" si="0">D5/C5</f>
        <v>1.0295287566100427E-3</v>
      </c>
      <c r="F5" s="15">
        <f>1.522 - 1.518 * E4</f>
        <v>1.5053352138446292</v>
      </c>
      <c r="G5" s="5">
        <f>(B5*E5)/(1+(B5-F5)*E5)</f>
        <v>4.1075654464283436E-3</v>
      </c>
      <c r="H5" s="5">
        <f t="shared" ref="H5:H22" si="1">1-G5</f>
        <v>0.99589243455357168</v>
      </c>
      <c r="I5" s="6">
        <f>I4*H4</f>
        <v>98913.120729880044</v>
      </c>
      <c r="J5" s="6">
        <f t="shared" ref="J5:J22" si="2">I5*G5</f>
        <v>406.2921169084504</v>
      </c>
      <c r="K5" s="6">
        <f>(B5*I6)+(F5*J5)</f>
        <v>394638.92028257617</v>
      </c>
      <c r="L5" s="6">
        <f>K5+L6</f>
        <v>6362175.4347051736</v>
      </c>
      <c r="M5" s="13">
        <f>L5/I5</f>
        <v>64.320844269786178</v>
      </c>
    </row>
    <row r="6" spans="1:13">
      <c r="A6" s="7">
        <v>5</v>
      </c>
      <c r="B6" s="7">
        <v>5</v>
      </c>
      <c r="C6" s="10">
        <v>309420</v>
      </c>
      <c r="D6" s="4">
        <v>97</v>
      </c>
      <c r="E6" s="5">
        <f t="shared" si="0"/>
        <v>3.1348975502553165E-4</v>
      </c>
      <c r="F6" s="5">
        <f>B6/2</f>
        <v>2.5</v>
      </c>
      <c r="G6" s="5">
        <f>(B6*E6)/(1+(B6-F6)*E6)</f>
        <v>1.5662212893069066E-3</v>
      </c>
      <c r="H6" s="5">
        <f t="shared" si="1"/>
        <v>0.99843377871069305</v>
      </c>
      <c r="I6" s="6">
        <f t="shared" ref="I6:I21" si="3">I5*H5</f>
        <v>98506.8286129716</v>
      </c>
      <c r="J6" s="6">
        <f t="shared" si="2"/>
        <v>154.28349211574286</v>
      </c>
      <c r="K6" s="6">
        <f>(B6*I7)+(F6*J6)</f>
        <v>492148.43433456862</v>
      </c>
      <c r="L6" s="6">
        <f t="shared" ref="L6:L20" si="4">K6+L7</f>
        <v>5967536.5144225974</v>
      </c>
      <c r="M6" s="13">
        <f t="shared" ref="M6:M22" si="5">L6/I6</f>
        <v>60.579927284724086</v>
      </c>
    </row>
    <row r="7" spans="1:13">
      <c r="A7" s="7">
        <v>10</v>
      </c>
      <c r="B7" s="7">
        <v>5</v>
      </c>
      <c r="C7" s="10">
        <v>319039</v>
      </c>
      <c r="D7" s="4">
        <v>130</v>
      </c>
      <c r="E7" s="5">
        <f t="shared" si="0"/>
        <v>4.0747369443861094E-4</v>
      </c>
      <c r="F7" s="5">
        <f t="shared" ref="F7:F22" si="6">B7/2</f>
        <v>2.5</v>
      </c>
      <c r="G7" s="5">
        <f t="shared" ref="G7:G21" si="7">(B7*E7)/(1+(B7-F7)*E7)</f>
        <v>2.0352951491088532E-3</v>
      </c>
      <c r="H7" s="5">
        <f t="shared" si="1"/>
        <v>0.99796470485089117</v>
      </c>
      <c r="I7" s="6">
        <f t="shared" si="3"/>
        <v>98352.545120855852</v>
      </c>
      <c r="J7" s="6">
        <f t="shared" si="2"/>
        <v>200.17645798698751</v>
      </c>
      <c r="K7" s="6">
        <f t="shared" ref="K7:K19" si="8">(B7*I8)+(F7*J7)</f>
        <v>491262.28445931175</v>
      </c>
      <c r="L7" s="6">
        <f t="shared" si="4"/>
        <v>5475388.0800880287</v>
      </c>
      <c r="M7" s="13">
        <f t="shared" si="5"/>
        <v>55.671035999727899</v>
      </c>
    </row>
    <row r="8" spans="1:13">
      <c r="A8" s="3">
        <v>15</v>
      </c>
      <c r="B8" s="7">
        <v>5</v>
      </c>
      <c r="C8" s="10">
        <v>315320</v>
      </c>
      <c r="D8" s="4">
        <v>316</v>
      </c>
      <c r="E8" s="5">
        <f t="shared" si="0"/>
        <v>1.0021565393885576E-3</v>
      </c>
      <c r="F8" s="5">
        <f t="shared" si="6"/>
        <v>2.5</v>
      </c>
      <c r="G8" s="5">
        <f t="shared" si="7"/>
        <v>4.998260099332511E-3</v>
      </c>
      <c r="H8" s="5">
        <f t="shared" si="1"/>
        <v>0.99500173990066754</v>
      </c>
      <c r="I8" s="6">
        <f t="shared" si="3"/>
        <v>98152.368662868859</v>
      </c>
      <c r="J8" s="6">
        <f t="shared" si="2"/>
        <v>490.59106794259213</v>
      </c>
      <c r="K8" s="6">
        <f t="shared" si="8"/>
        <v>489535.36564448784</v>
      </c>
      <c r="L8" s="6">
        <f t="shared" si="4"/>
        <v>4984125.7956287172</v>
      </c>
      <c r="M8" s="13">
        <f t="shared" si="5"/>
        <v>50.779475457673975</v>
      </c>
    </row>
    <row r="9" spans="1:13">
      <c r="A9" s="3">
        <v>20</v>
      </c>
      <c r="B9" s="7">
        <v>5</v>
      </c>
      <c r="C9" s="10">
        <v>306612</v>
      </c>
      <c r="D9" s="4">
        <v>520</v>
      </c>
      <c r="E9" s="5">
        <f t="shared" si="0"/>
        <v>1.6959544962362855E-3</v>
      </c>
      <c r="F9" s="5">
        <f t="shared" si="6"/>
        <v>2.5</v>
      </c>
      <c r="G9" s="5">
        <f t="shared" si="7"/>
        <v>8.4439710047026408E-3</v>
      </c>
      <c r="H9" s="5">
        <f t="shared" si="1"/>
        <v>0.99155602899529738</v>
      </c>
      <c r="I9" s="6">
        <f t="shared" si="3"/>
        <v>97661.777594926272</v>
      </c>
      <c r="J9" s="6">
        <f t="shared" si="2"/>
        <v>824.65321827927551</v>
      </c>
      <c r="K9" s="6">
        <f t="shared" si="8"/>
        <v>486247.25492893317</v>
      </c>
      <c r="L9" s="6">
        <f t="shared" si="4"/>
        <v>4494590.4299842296</v>
      </c>
      <c r="M9" s="13">
        <f t="shared" si="5"/>
        <v>46.02200103940902</v>
      </c>
    </row>
    <row r="10" spans="1:13">
      <c r="A10" s="3">
        <v>25</v>
      </c>
      <c r="B10" s="7">
        <v>5</v>
      </c>
      <c r="C10" s="10">
        <v>283883</v>
      </c>
      <c r="D10" s="4">
        <v>838</v>
      </c>
      <c r="E10" s="5">
        <f t="shared" si="0"/>
        <v>2.9519203333767787E-3</v>
      </c>
      <c r="F10" s="5">
        <f t="shared" si="6"/>
        <v>2.5</v>
      </c>
      <c r="G10" s="5">
        <f t="shared" si="7"/>
        <v>1.4651476687017882E-2</v>
      </c>
      <c r="H10" s="5">
        <f t="shared" si="1"/>
        <v>0.98534852331298217</v>
      </c>
      <c r="I10" s="6">
        <f t="shared" si="3"/>
        <v>96837.124376647</v>
      </c>
      <c r="J10" s="6">
        <f t="shared" si="2"/>
        <v>1418.8068702422945</v>
      </c>
      <c r="K10" s="6">
        <f t="shared" si="8"/>
        <v>480638.6047076293</v>
      </c>
      <c r="L10" s="6">
        <f t="shared" si="4"/>
        <v>4008343.1750552966</v>
      </c>
      <c r="M10" s="13">
        <f t="shared" si="5"/>
        <v>41.392629127078237</v>
      </c>
    </row>
    <row r="11" spans="1:13">
      <c r="A11" s="3">
        <v>30</v>
      </c>
      <c r="B11" s="7">
        <v>5</v>
      </c>
      <c r="C11" s="10">
        <v>247373</v>
      </c>
      <c r="D11" s="4">
        <v>939</v>
      </c>
      <c r="E11" s="5">
        <f t="shared" si="0"/>
        <v>3.7958871825138556E-3</v>
      </c>
      <c r="F11" s="5">
        <f t="shared" si="6"/>
        <v>2.5</v>
      </c>
      <c r="G11" s="5">
        <f t="shared" si="7"/>
        <v>1.8801019539845545E-2</v>
      </c>
      <c r="H11" s="5">
        <f t="shared" si="1"/>
        <v>0.98119898046015441</v>
      </c>
      <c r="I11" s="6">
        <f t="shared" si="3"/>
        <v>95418.31750640471</v>
      </c>
      <c r="J11" s="6">
        <f t="shared" si="2"/>
        <v>1793.9616518971013</v>
      </c>
      <c r="K11" s="6">
        <f t="shared" si="8"/>
        <v>472606.68340228079</v>
      </c>
      <c r="L11" s="6">
        <f t="shared" si="4"/>
        <v>3527704.5703476672</v>
      </c>
      <c r="M11" s="13">
        <f t="shared" si="5"/>
        <v>36.970936635000704</v>
      </c>
    </row>
    <row r="12" spans="1:13">
      <c r="A12" s="3">
        <v>35</v>
      </c>
      <c r="B12" s="7">
        <v>5</v>
      </c>
      <c r="C12" s="10">
        <v>207291</v>
      </c>
      <c r="D12" s="4">
        <v>1253</v>
      </c>
      <c r="E12" s="5">
        <f t="shared" si="0"/>
        <v>6.0446425556343495E-3</v>
      </c>
      <c r="F12" s="5">
        <f t="shared" si="6"/>
        <v>2.5</v>
      </c>
      <c r="G12" s="5">
        <f t="shared" si="7"/>
        <v>2.9773290530762959E-2</v>
      </c>
      <c r="H12" s="5">
        <f t="shared" si="1"/>
        <v>0.97022670946923706</v>
      </c>
      <c r="I12" s="6">
        <f t="shared" si="3"/>
        <v>93624.355854507608</v>
      </c>
      <c r="J12" s="6">
        <f t="shared" si="2"/>
        <v>2787.5051476117928</v>
      </c>
      <c r="K12" s="6">
        <f t="shared" si="8"/>
        <v>461153.01640350855</v>
      </c>
      <c r="L12" s="6">
        <f t="shared" si="4"/>
        <v>3055097.8869453864</v>
      </c>
      <c r="M12" s="13">
        <f t="shared" si="5"/>
        <v>32.631443592445251</v>
      </c>
    </row>
    <row r="13" spans="1:13">
      <c r="A13" s="3">
        <v>40</v>
      </c>
      <c r="B13" s="7">
        <v>5</v>
      </c>
      <c r="C13" s="10">
        <v>179110</v>
      </c>
      <c r="D13" s="4">
        <v>1591</v>
      </c>
      <c r="E13" s="5">
        <f t="shared" si="0"/>
        <v>8.8828094467087258E-3</v>
      </c>
      <c r="F13" s="5">
        <f t="shared" si="6"/>
        <v>2.5</v>
      </c>
      <c r="G13" s="5">
        <f t="shared" si="7"/>
        <v>4.3449170478596297E-2</v>
      </c>
      <c r="H13" s="5">
        <f t="shared" si="1"/>
        <v>0.95655082952140369</v>
      </c>
      <c r="I13" s="6">
        <f t="shared" si="3"/>
        <v>90836.850706895813</v>
      </c>
      <c r="J13" s="6">
        <f t="shared" si="2"/>
        <v>3946.7858121027166</v>
      </c>
      <c r="K13" s="6">
        <f t="shared" si="8"/>
        <v>444317.28900422226</v>
      </c>
      <c r="L13" s="6">
        <f t="shared" si="4"/>
        <v>2593944.870541878</v>
      </c>
      <c r="M13" s="13">
        <f t="shared" si="5"/>
        <v>28.556085447213338</v>
      </c>
    </row>
    <row r="14" spans="1:13">
      <c r="A14" s="3">
        <v>45</v>
      </c>
      <c r="B14" s="7">
        <v>5</v>
      </c>
      <c r="C14" s="10">
        <v>170907</v>
      </c>
      <c r="D14" s="9">
        <v>2166</v>
      </c>
      <c r="E14" s="5">
        <f t="shared" si="0"/>
        <v>1.2673559304182977E-2</v>
      </c>
      <c r="F14" s="5">
        <f t="shared" si="6"/>
        <v>2.5</v>
      </c>
      <c r="G14" s="5">
        <f t="shared" si="7"/>
        <v>6.1421717085786233E-2</v>
      </c>
      <c r="H14" s="5">
        <f t="shared" si="1"/>
        <v>0.93857828291421375</v>
      </c>
      <c r="I14" s="6">
        <f t="shared" si="3"/>
        <v>86890.064894793089</v>
      </c>
      <c r="J14" s="6">
        <f t="shared" si="2"/>
        <v>5336.9369835335874</v>
      </c>
      <c r="K14" s="6">
        <f t="shared" si="8"/>
        <v>421107.98201513151</v>
      </c>
      <c r="L14" s="6">
        <f t="shared" si="4"/>
        <v>2149627.5815376556</v>
      </c>
      <c r="M14" s="13">
        <f t="shared" si="5"/>
        <v>24.73962453751686</v>
      </c>
    </row>
    <row r="15" spans="1:13">
      <c r="A15" s="3">
        <v>50</v>
      </c>
      <c r="B15" s="7">
        <v>5</v>
      </c>
      <c r="C15" s="10">
        <v>150958</v>
      </c>
      <c r="D15" s="9">
        <v>2675</v>
      </c>
      <c r="E15" s="5">
        <f t="shared" si="0"/>
        <v>1.7720160574464419E-2</v>
      </c>
      <c r="F15" s="5">
        <f t="shared" si="6"/>
        <v>2.5</v>
      </c>
      <c r="G15" s="5">
        <f t="shared" si="7"/>
        <v>8.4842256835748558E-2</v>
      </c>
      <c r="H15" s="5">
        <f t="shared" si="1"/>
        <v>0.91515774316425147</v>
      </c>
      <c r="I15" s="6">
        <f t="shared" si="3"/>
        <v>81553.127911259508</v>
      </c>
      <c r="J15" s="6">
        <f t="shared" si="2"/>
        <v>6919.1514240057331</v>
      </c>
      <c r="K15" s="6">
        <f t="shared" si="8"/>
        <v>390467.76099628326</v>
      </c>
      <c r="L15" s="6">
        <f t="shared" si="4"/>
        <v>1728519.5995225238</v>
      </c>
      <c r="M15" s="13">
        <f t="shared" si="5"/>
        <v>21.195012917265167</v>
      </c>
    </row>
    <row r="16" spans="1:13">
      <c r="A16" s="3">
        <v>55</v>
      </c>
      <c r="B16" s="7">
        <v>5</v>
      </c>
      <c r="C16" s="10">
        <v>127457</v>
      </c>
      <c r="D16" s="9">
        <v>3097</v>
      </c>
      <c r="E16" s="5">
        <f t="shared" si="0"/>
        <v>2.4298390829848499E-2</v>
      </c>
      <c r="F16" s="5">
        <f t="shared" si="6"/>
        <v>2.5</v>
      </c>
      <c r="G16" s="5">
        <f t="shared" si="7"/>
        <v>0.11453444724277827</v>
      </c>
      <c r="H16" s="5">
        <f t="shared" si="1"/>
        <v>0.88546555275722172</v>
      </c>
      <c r="I16" s="6">
        <f t="shared" si="3"/>
        <v>74633.976487253778</v>
      </c>
      <c r="J16" s="6">
        <f t="shared" si="2"/>
        <v>8548.1612424981213</v>
      </c>
      <c r="K16" s="6">
        <f t="shared" si="8"/>
        <v>351799.47933002358</v>
      </c>
      <c r="L16" s="6">
        <f t="shared" si="4"/>
        <v>1338051.8385262405</v>
      </c>
      <c r="M16" s="13">
        <f t="shared" si="5"/>
        <v>17.928186350284541</v>
      </c>
    </row>
    <row r="17" spans="1:13">
      <c r="A17" s="3">
        <v>60</v>
      </c>
      <c r="B17" s="7">
        <v>5</v>
      </c>
      <c r="C17" s="10">
        <v>101183</v>
      </c>
      <c r="D17" s="9">
        <v>3660</v>
      </c>
      <c r="E17" s="5">
        <f t="shared" si="0"/>
        <v>3.6172084243400571E-2</v>
      </c>
      <c r="F17" s="5">
        <f t="shared" si="6"/>
        <v>2.5</v>
      </c>
      <c r="G17" s="5">
        <f t="shared" si="7"/>
        <v>0.16586152828256281</v>
      </c>
      <c r="H17" s="5">
        <f t="shared" si="1"/>
        <v>0.83413847171743716</v>
      </c>
      <c r="I17" s="6">
        <f t="shared" si="3"/>
        <v>66085.815244755649</v>
      </c>
      <c r="J17" s="6">
        <f t="shared" si="2"/>
        <v>10961.09431429426</v>
      </c>
      <c r="K17" s="6">
        <f t="shared" si="8"/>
        <v>303026.34043804259</v>
      </c>
      <c r="L17" s="6">
        <f t="shared" si="4"/>
        <v>986252.35919621703</v>
      </c>
      <c r="M17" s="13">
        <f t="shared" si="5"/>
        <v>14.923813159352418</v>
      </c>
    </row>
    <row r="18" spans="1:13">
      <c r="A18" s="3">
        <v>65</v>
      </c>
      <c r="B18" s="7">
        <v>5</v>
      </c>
      <c r="C18" s="10">
        <v>75410</v>
      </c>
      <c r="D18" s="9">
        <v>3768</v>
      </c>
      <c r="E18" s="5">
        <f t="shared" si="0"/>
        <v>4.9966847898156745E-2</v>
      </c>
      <c r="F18" s="5">
        <f t="shared" si="6"/>
        <v>2.5</v>
      </c>
      <c r="G18" s="5">
        <f t="shared" si="7"/>
        <v>0.22209124130614172</v>
      </c>
      <c r="H18" s="5">
        <f t="shared" si="1"/>
        <v>0.77790875869385823</v>
      </c>
      <c r="I18" s="6">
        <f t="shared" si="3"/>
        <v>55124.720930461386</v>
      </c>
      <c r="J18" s="6">
        <f t="shared" si="2"/>
        <v>12242.717698100822</v>
      </c>
      <c r="K18" s="6">
        <f t="shared" si="8"/>
        <v>245016.81040705487</v>
      </c>
      <c r="L18" s="6">
        <f t="shared" si="4"/>
        <v>683226.0187581745</v>
      </c>
      <c r="M18" s="13">
        <f t="shared" si="5"/>
        <v>12.394185534654207</v>
      </c>
    </row>
    <row r="19" spans="1:13">
      <c r="A19" s="3">
        <v>70</v>
      </c>
      <c r="B19" s="7">
        <v>5</v>
      </c>
      <c r="C19" s="10">
        <v>55183</v>
      </c>
      <c r="D19" s="9">
        <v>3489</v>
      </c>
      <c r="E19" s="5">
        <f t="shared" si="0"/>
        <v>6.3225993512494791E-2</v>
      </c>
      <c r="F19" s="5">
        <f t="shared" si="6"/>
        <v>2.5</v>
      </c>
      <c r="G19" s="5">
        <f t="shared" si="7"/>
        <v>0.27298119880135518</v>
      </c>
      <c r="H19" s="5">
        <f t="shared" si="1"/>
        <v>0.72701880119864482</v>
      </c>
      <c r="I19" s="6">
        <f t="shared" si="3"/>
        <v>42882.003232360563</v>
      </c>
      <c r="J19" s="6">
        <f t="shared" si="2"/>
        <v>11705.980649373374</v>
      </c>
      <c r="K19" s="6">
        <f t="shared" si="8"/>
        <v>185145.06453836939</v>
      </c>
      <c r="L19" s="6">
        <f t="shared" si="4"/>
        <v>438209.2083511196</v>
      </c>
      <c r="M19" s="13">
        <f t="shared" si="5"/>
        <v>10.218953764278169</v>
      </c>
    </row>
    <row r="20" spans="1:13">
      <c r="A20" s="3">
        <v>75</v>
      </c>
      <c r="B20" s="7">
        <v>5</v>
      </c>
      <c r="C20" s="10">
        <v>39765</v>
      </c>
      <c r="D20" s="9">
        <v>3503</v>
      </c>
      <c r="E20" s="5">
        <f t="shared" si="0"/>
        <v>8.809254369420344E-2</v>
      </c>
      <c r="F20" s="5">
        <f t="shared" si="6"/>
        <v>2.5</v>
      </c>
      <c r="G20" s="5">
        <f t="shared" si="7"/>
        <v>0.36096656190427123</v>
      </c>
      <c r="H20" s="5">
        <f t="shared" si="1"/>
        <v>0.63903343809572877</v>
      </c>
      <c r="I20" s="6">
        <f t="shared" si="3"/>
        <v>31176.022582987189</v>
      </c>
      <c r="J20" s="6">
        <f t="shared" si="2"/>
        <v>11253.501685630803</v>
      </c>
      <c r="K20" s="6">
        <f>(B20*I21)+(F20*J20)</f>
        <v>127746.35870085894</v>
      </c>
      <c r="L20" s="6">
        <f t="shared" si="4"/>
        <v>253064.1438127502</v>
      </c>
      <c r="M20" s="13">
        <f t="shared" si="5"/>
        <v>8.11726842765529</v>
      </c>
    </row>
    <row r="21" spans="1:13">
      <c r="A21" s="3">
        <v>80</v>
      </c>
      <c r="B21" s="7">
        <v>5</v>
      </c>
      <c r="C21" s="10">
        <v>25520</v>
      </c>
      <c r="D21" s="9">
        <v>3184</v>
      </c>
      <c r="E21" s="5">
        <f t="shared" si="0"/>
        <v>0.12476489028213165</v>
      </c>
      <c r="F21" s="5">
        <f t="shared" si="6"/>
        <v>2.5</v>
      </c>
      <c r="G21" s="5">
        <f t="shared" si="7"/>
        <v>0.47550776583034643</v>
      </c>
      <c r="H21" s="5">
        <f t="shared" si="1"/>
        <v>0.52449223416965363</v>
      </c>
      <c r="I21" s="6">
        <f t="shared" si="3"/>
        <v>19922.520897356386</v>
      </c>
      <c r="J21" s="6">
        <f t="shared" si="2"/>
        <v>9473.3134016103231</v>
      </c>
      <c r="K21" s="6">
        <f t="shared" ref="K21" si="9">(B21*I22)+(F21*J21)</f>
        <v>75929.320982756122</v>
      </c>
      <c r="L21" s="6">
        <f>K21+L22</f>
        <v>125317.78511189127</v>
      </c>
      <c r="M21" s="13">
        <f t="shared" si="5"/>
        <v>6.2902574306507706</v>
      </c>
    </row>
    <row r="22" spans="1:13">
      <c r="A22" s="3" t="s">
        <v>2</v>
      </c>
      <c r="B22" s="7">
        <v>5</v>
      </c>
      <c r="C22" s="10">
        <v>23056</v>
      </c>
      <c r="D22" s="9">
        <v>4878</v>
      </c>
      <c r="E22" s="5">
        <f t="shared" si="0"/>
        <v>0.21157182512144343</v>
      </c>
      <c r="F22" s="5">
        <f t="shared" si="6"/>
        <v>2.5</v>
      </c>
      <c r="G22" s="5">
        <v>1</v>
      </c>
      <c r="H22" s="5">
        <f t="shared" si="1"/>
        <v>0</v>
      </c>
      <c r="I22" s="6">
        <f>I21*H21</f>
        <v>10449.207495746063</v>
      </c>
      <c r="J22" s="6">
        <f t="shared" si="2"/>
        <v>10449.207495746063</v>
      </c>
      <c r="K22" s="6">
        <f>I22/E22</f>
        <v>49388.464129135144</v>
      </c>
      <c r="L22" s="6">
        <f>I22/E22</f>
        <v>49388.464129135144</v>
      </c>
      <c r="M22" s="13">
        <f t="shared" si="5"/>
        <v>4.7265272652726527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Mortalidad femenina 2010</vt:lpstr>
      <vt:lpstr>Mortalidad femenina 2019</vt:lpstr>
      <vt:lpstr>Mortalidad masculina 2010</vt:lpstr>
      <vt:lpstr>Mortalidad masculina 2019</vt:lpstr>
      <vt:lpstr>Mortalidad femenina 2021</vt:lpstr>
      <vt:lpstr>Mortalidad masculina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Ramìrez Pera</dc:creator>
  <cp:lastModifiedBy>neto castro</cp:lastModifiedBy>
  <dcterms:created xsi:type="dcterms:W3CDTF">2026-05-18T00:30:22Z</dcterms:created>
  <dcterms:modified xsi:type="dcterms:W3CDTF">2026-06-04T02:29:52Z</dcterms:modified>
</cp:coreProperties>
</file>