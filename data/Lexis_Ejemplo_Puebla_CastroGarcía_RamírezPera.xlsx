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9cb8d1ec73e6b7/Escritorio/Fac. ciencias/3er semestre/"/>
    </mc:Choice>
  </mc:AlternateContent>
  <xr:revisionPtr revIDLastSave="254" documentId="8_{C031B241-A434-4A67-8A75-2A39FF3982F4}" xr6:coauthVersionLast="47" xr6:coauthVersionMax="47" xr10:uidLastSave="{F06A5E39-3A59-4C06-8A65-41314472CF60}"/>
  <bookViews>
    <workbookView xWindow="-96" yWindow="0" windowWidth="11712" windowHeight="12336" tabRatio="556" activeTab="2" xr2:uid="{00000000-000D-0000-FFFF-FFFF00000000}"/>
  </bookViews>
  <sheets>
    <sheet name="Datos" sheetId="1" r:id="rId1"/>
    <sheet name="Diagrama de Lexis" sheetId="5" r:id="rId2"/>
    <sheet name="TMI" sheetId="4" r:id="rId3"/>
  </sheets>
  <definedNames>
    <definedName name="_Hlk24994008" localSheetId="0">Datos!$B$43</definedName>
  </definedNames>
  <calcPr calcId="191028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H7" i="4"/>
  <c r="H6" i="4"/>
  <c r="H5" i="4"/>
  <c r="H4" i="4"/>
  <c r="G7" i="4"/>
  <c r="G6" i="4"/>
  <c r="G5" i="4"/>
  <c r="G4" i="4"/>
  <c r="D7" i="4"/>
  <c r="D6" i="4"/>
  <c r="D5" i="4"/>
  <c r="D4" i="4"/>
  <c r="C7" i="4"/>
  <c r="C6" i="4"/>
  <c r="C5" i="4"/>
  <c r="AO5" i="5"/>
  <c r="AM5" i="5"/>
  <c r="AK5" i="5"/>
  <c r="AI5" i="5"/>
  <c r="AO8" i="5"/>
  <c r="AM8" i="5"/>
  <c r="AK8" i="5"/>
  <c r="AI8" i="5"/>
  <c r="AI13" i="5"/>
  <c r="AO10" i="5"/>
  <c r="AM10" i="5"/>
  <c r="AK10" i="5"/>
  <c r="AI10" i="5"/>
  <c r="AG10" i="5"/>
  <c r="AO13" i="5"/>
  <c r="AM13" i="5"/>
  <c r="AK13" i="5"/>
  <c r="AG13" i="5"/>
  <c r="AO15" i="5"/>
  <c r="AM15" i="5"/>
  <c r="AK15" i="5"/>
  <c r="AI15" i="5"/>
  <c r="AG15" i="5"/>
  <c r="AE15" i="5"/>
  <c r="AO18" i="5"/>
  <c r="AM18" i="5"/>
  <c r="AK18" i="5"/>
  <c r="AI18" i="5"/>
  <c r="AG18" i="5"/>
  <c r="AE18" i="5"/>
  <c r="AO20" i="5"/>
  <c r="AM20" i="5"/>
  <c r="AK20" i="5"/>
  <c r="AI20" i="5"/>
  <c r="AG20" i="5"/>
  <c r="AE20" i="5"/>
  <c r="AC20" i="5"/>
  <c r="AC23" i="5"/>
  <c r="AO23" i="5"/>
  <c r="AM23" i="5"/>
  <c r="AK23" i="5"/>
  <c r="AI23" i="5"/>
  <c r="AG23" i="5"/>
  <c r="AE23" i="5"/>
  <c r="AO25" i="5"/>
  <c r="AM25" i="5"/>
  <c r="AK25" i="5"/>
  <c r="AI25" i="5"/>
  <c r="AG25" i="5"/>
  <c r="AE25" i="5"/>
  <c r="AC25" i="5"/>
  <c r="AA25" i="5"/>
  <c r="AA28" i="5"/>
  <c r="AO28" i="5"/>
  <c r="AM28" i="5"/>
  <c r="AK28" i="5"/>
  <c r="AI28" i="5"/>
  <c r="AG28" i="5"/>
  <c r="AE28" i="5"/>
  <c r="AC28" i="5"/>
  <c r="R29" i="5"/>
  <c r="AO29" i="5"/>
  <c r="AM29" i="5"/>
  <c r="AK29" i="5"/>
  <c r="AI29" i="5"/>
  <c r="AG29" i="5"/>
  <c r="AE29" i="5"/>
  <c r="AC29" i="5"/>
  <c r="AA29" i="5"/>
  <c r="T5" i="5"/>
  <c r="R5" i="5"/>
  <c r="P5" i="5"/>
  <c r="N5" i="5"/>
  <c r="T8" i="5"/>
  <c r="R8" i="5"/>
  <c r="P8" i="5"/>
  <c r="N8" i="5"/>
  <c r="T10" i="5"/>
  <c r="R10" i="5"/>
  <c r="P10" i="5"/>
  <c r="N10" i="5"/>
  <c r="L10" i="5"/>
  <c r="T13" i="5"/>
  <c r="R13" i="5"/>
  <c r="P13" i="5"/>
  <c r="N13" i="5"/>
  <c r="L13" i="5"/>
  <c r="T15" i="5"/>
  <c r="R15" i="5"/>
  <c r="P15" i="5"/>
  <c r="N15" i="5"/>
  <c r="L15" i="5"/>
  <c r="T18" i="5"/>
  <c r="R18" i="5"/>
  <c r="P18" i="5"/>
  <c r="N18" i="5"/>
  <c r="L18" i="5"/>
  <c r="T20" i="5"/>
  <c r="R20" i="5"/>
  <c r="P20" i="5"/>
  <c r="N20" i="5"/>
  <c r="L20" i="5"/>
  <c r="J20" i="5"/>
  <c r="T23" i="5"/>
  <c r="R23" i="5"/>
  <c r="P23" i="5"/>
  <c r="N23" i="5"/>
  <c r="L23" i="5"/>
  <c r="J23" i="5"/>
  <c r="I25" i="5"/>
  <c r="T25" i="5"/>
  <c r="R25" i="5"/>
  <c r="P25" i="5"/>
  <c r="N25" i="5"/>
  <c r="L25" i="5"/>
  <c r="J25" i="5"/>
  <c r="H25" i="5"/>
  <c r="T28" i="5"/>
  <c r="R28" i="5"/>
  <c r="P28" i="5"/>
  <c r="N28" i="5"/>
  <c r="L28" i="5"/>
  <c r="J28" i="5"/>
  <c r="H28" i="5"/>
  <c r="G25" i="5" l="1"/>
  <c r="J18" i="5"/>
  <c r="J15" i="5"/>
  <c r="H23" i="5"/>
  <c r="H20" i="5"/>
  <c r="F28" i="5"/>
  <c r="F25" i="5"/>
  <c r="T29" i="5"/>
  <c r="U25" i="5" s="1"/>
  <c r="P29" i="5"/>
  <c r="N29" i="5"/>
  <c r="O25" i="5" s="1"/>
  <c r="L29" i="5"/>
  <c r="M25" i="5" s="1"/>
  <c r="Q25" i="5"/>
  <c r="R24" i="5" s="1"/>
  <c r="J29" i="5"/>
  <c r="H29" i="5"/>
  <c r="F29" i="5"/>
  <c r="AL25" i="5"/>
  <c r="AJ25" i="5"/>
  <c r="AD25" i="5"/>
  <c r="AB25" i="5"/>
  <c r="AP25" i="5"/>
  <c r="H24" i="5" l="1"/>
  <c r="I20" i="5" s="1"/>
  <c r="J24" i="5"/>
  <c r="K20" i="5" s="1"/>
  <c r="L19" i="5" s="1"/>
  <c r="M15" i="5" s="1"/>
  <c r="N14" i="5" s="1"/>
  <c r="O10" i="5" s="1"/>
  <c r="P9" i="5" s="1"/>
  <c r="Q5" i="5" s="1"/>
  <c r="R4" i="5" s="1"/>
  <c r="AE24" i="5"/>
  <c r="AF20" i="5" s="1"/>
  <c r="AG19" i="5" s="1"/>
  <c r="AH15" i="5" s="1"/>
  <c r="AI14" i="5" s="1"/>
  <c r="AJ10" i="5" s="1"/>
  <c r="AK9" i="5" s="1"/>
  <c r="AL5" i="5" s="1"/>
  <c r="AM4" i="5" s="1"/>
  <c r="AK24" i="5"/>
  <c r="N24" i="5"/>
  <c r="P24" i="5"/>
  <c r="S20" i="5"/>
  <c r="T19" i="5" s="1"/>
  <c r="U15" i="5" s="1"/>
  <c r="K25" i="5"/>
  <c r="S25" i="5"/>
  <c r="AF25" i="5"/>
  <c r="AN25" i="5"/>
  <c r="AH25" i="5"/>
  <c r="AM24" i="5"/>
  <c r="AC24" i="5"/>
  <c r="AL20" i="5" l="1"/>
  <c r="AM19" i="5" s="1"/>
  <c r="AN15" i="5" s="1"/>
  <c r="AO14" i="5" s="1"/>
  <c r="AP10" i="5" s="1"/>
  <c r="AO24" i="5"/>
  <c r="AG24" i="5"/>
  <c r="T24" i="5"/>
  <c r="U20" i="5" s="1"/>
  <c r="AD20" i="5"/>
  <c r="AE19" i="5" s="1"/>
  <c r="AF15" i="5" s="1"/>
  <c r="AG14" i="5" s="1"/>
  <c r="AH10" i="5" s="1"/>
  <c r="AI9" i="5" s="1"/>
  <c r="AJ5" i="5" s="1"/>
  <c r="AK4" i="5" s="1"/>
  <c r="Q20" i="5"/>
  <c r="R19" i="5" s="1"/>
  <c r="S15" i="5" s="1"/>
  <c r="T14" i="5" s="1"/>
  <c r="U10" i="5" s="1"/>
  <c r="L24" i="5"/>
  <c r="AN20" i="5"/>
  <c r="AO19" i="5" s="1"/>
  <c r="AP15" i="5" s="1"/>
  <c r="J19" i="5"/>
  <c r="AI24" i="5"/>
  <c r="O20" i="5"/>
  <c r="P19" i="5" s="1"/>
  <c r="Q15" i="5" s="1"/>
  <c r="R14" i="5" s="1"/>
  <c r="S10" i="5" s="1"/>
  <c r="T9" i="5" s="1"/>
  <c r="U5" i="5" s="1"/>
  <c r="K15" i="5" l="1"/>
  <c r="AH20" i="5"/>
  <c r="AI19" i="5" s="1"/>
  <c r="AJ15" i="5" s="1"/>
  <c r="AK14" i="5" s="1"/>
  <c r="AL10" i="5" s="1"/>
  <c r="AM9" i="5" s="1"/>
  <c r="AN5" i="5" s="1"/>
  <c r="AO4" i="5" s="1"/>
  <c r="AP20" i="5"/>
  <c r="M20" i="5"/>
  <c r="N19" i="5" s="1"/>
  <c r="O15" i="5" s="1"/>
  <c r="P14" i="5" s="1"/>
  <c r="Q10" i="5" s="1"/>
  <c r="R9" i="5" s="1"/>
  <c r="S5" i="5" s="1"/>
  <c r="T4" i="5" s="1"/>
  <c r="AJ20" i="5"/>
  <c r="AK19" i="5" s="1"/>
  <c r="AL15" i="5" s="1"/>
  <c r="AM14" i="5" s="1"/>
  <c r="AN10" i="5" s="1"/>
  <c r="AO9" i="5" s="1"/>
  <c r="AP5" i="5" s="1"/>
  <c r="L14" i="5" l="1"/>
  <c r="M10" i="5" s="1"/>
  <c r="N9" i="5" s="1"/>
  <c r="O5" i="5" s="1"/>
  <c r="P4" i="5" s="1"/>
</calcChain>
</file>

<file path=xl/sharedStrings.xml><?xml version="1.0" encoding="utf-8"?>
<sst xmlns="http://schemas.openxmlformats.org/spreadsheetml/2006/main" count="56" uniqueCount="30">
  <si>
    <t>Cuadro  1</t>
  </si>
  <si>
    <t>Año</t>
  </si>
  <si>
    <t>Nacimientos</t>
  </si>
  <si>
    <t>Defunciones de menores de 1 año</t>
  </si>
  <si>
    <t>Hombres</t>
  </si>
  <si>
    <t>Mujeres</t>
  </si>
  <si>
    <t>Cuadro  2</t>
  </si>
  <si>
    <r>
      <t>D</t>
    </r>
    <r>
      <rPr>
        <b/>
        <vertAlign val="subscript"/>
        <sz val="11"/>
        <rFont val="Calibri"/>
        <family val="2"/>
        <scheme val="minor"/>
      </rPr>
      <t>1</t>
    </r>
  </si>
  <si>
    <r>
      <t>D</t>
    </r>
    <r>
      <rPr>
        <b/>
        <vertAlign val="subscript"/>
        <sz val="11"/>
        <rFont val="Calibri"/>
        <family val="2"/>
        <scheme val="minor"/>
      </rPr>
      <t>2</t>
    </r>
  </si>
  <si>
    <r>
      <t>D</t>
    </r>
    <r>
      <rPr>
        <b/>
        <vertAlign val="subscript"/>
        <sz val="11"/>
        <rFont val="Calibri"/>
        <family val="2"/>
        <scheme val="minor"/>
      </rPr>
      <t>3</t>
    </r>
  </si>
  <si>
    <r>
      <t>D</t>
    </r>
    <r>
      <rPr>
        <b/>
        <vertAlign val="subscript"/>
        <sz val="11"/>
        <rFont val="Calibri"/>
        <family val="2"/>
        <scheme val="minor"/>
      </rPr>
      <t>4</t>
    </r>
  </si>
  <si>
    <t>a0</t>
  </si>
  <si>
    <t>Año de nacimiento</t>
  </si>
  <si>
    <t>TMI Cohorte</t>
  </si>
  <si>
    <t>TMI clásica</t>
  </si>
  <si>
    <t>TMI refinada</t>
  </si>
  <si>
    <r>
      <rPr>
        <b/>
        <vertAlign val="subscript"/>
        <sz val="11"/>
        <rFont val="Calibri"/>
        <family val="2"/>
        <scheme val="minor"/>
      </rPr>
      <t>α</t>
    </r>
    <r>
      <rPr>
        <b/>
        <sz val="11"/>
        <rFont val="Calibri"/>
        <family val="2"/>
        <scheme val="minor"/>
      </rPr>
      <t>p</t>
    </r>
    <r>
      <rPr>
        <b/>
        <vertAlign val="subscript"/>
        <sz val="11"/>
        <rFont val="Calibri"/>
        <family val="2"/>
        <scheme val="minor"/>
      </rPr>
      <t>0</t>
    </r>
  </si>
  <si>
    <r>
      <rPr>
        <b/>
        <vertAlign val="subscript"/>
        <sz val="11"/>
        <rFont val="Calibri"/>
        <family val="2"/>
        <scheme val="minor"/>
      </rPr>
      <t>δ</t>
    </r>
    <r>
      <rPr>
        <b/>
        <sz val="11"/>
        <rFont val="Calibri"/>
        <family val="2"/>
        <scheme val="minor"/>
      </rPr>
      <t>p</t>
    </r>
    <r>
      <rPr>
        <b/>
        <vertAlign val="subscript"/>
        <sz val="11"/>
        <rFont val="Calibri"/>
        <family val="2"/>
        <scheme val="minor"/>
      </rPr>
      <t>0</t>
    </r>
  </si>
  <si>
    <r>
      <t>q</t>
    </r>
    <r>
      <rPr>
        <b/>
        <vertAlign val="subscript"/>
        <sz val="11"/>
        <rFont val="Calibri"/>
        <family val="2"/>
        <scheme val="minor"/>
      </rPr>
      <t>0</t>
    </r>
  </si>
  <si>
    <t>Edad (en años cumplidos)</t>
  </si>
  <si>
    <t>Puebla: nacidos vivos y defunciones de menores de 1 año, 2009-2024</t>
  </si>
  <si>
    <t>Puebla</t>
  </si>
  <si>
    <t>Fuente: INEGI. Estadísticas de mortalidad.</t>
  </si>
  <si>
    <t>Puebla: defunciones de 1 a 4 años por sexo según edad detallada, 2015-2024</t>
  </si>
  <si>
    <t>Fuente: INEGI. Estadísticas de Defunciones Registradas (EDR).</t>
  </si>
  <si>
    <r>
      <t>Promedio de APV de aquellos que murieron antes de cumplir 1 año de edad: a</t>
    </r>
    <r>
      <rPr>
        <b/>
        <vertAlign val="subscript"/>
        <sz val="11"/>
        <color indexed="8"/>
        <rFont val="Calibri"/>
      </rPr>
      <t>0</t>
    </r>
    <r>
      <rPr>
        <b/>
        <sz val="11"/>
        <color indexed="8"/>
        <rFont val="Calibri"/>
      </rPr>
      <t xml:space="preserve"> hombres = 0,2 y a</t>
    </r>
    <r>
      <rPr>
        <b/>
        <vertAlign val="subscript"/>
        <sz val="11"/>
        <color indexed="8"/>
        <rFont val="Calibri"/>
      </rPr>
      <t>0</t>
    </r>
    <r>
      <rPr>
        <b/>
        <sz val="11"/>
        <color indexed="8"/>
        <rFont val="Calibri"/>
      </rPr>
      <t xml:space="preserve"> mujeres = 0,15</t>
    </r>
  </si>
  <si>
    <r>
      <rPr>
        <b/>
        <sz val="11"/>
        <color indexed="8"/>
        <rFont val="Calibri"/>
      </rPr>
      <t>Para las edades 1, 2, 3 y 4 utilizar los factores de Glover: a</t>
    </r>
    <r>
      <rPr>
        <b/>
        <vertAlign val="subscript"/>
        <sz val="11"/>
        <color indexed="8"/>
        <rFont val="Calibri"/>
      </rPr>
      <t xml:space="preserve">1 </t>
    </r>
    <r>
      <rPr>
        <b/>
        <sz val="11"/>
        <color indexed="8"/>
        <rFont val="Calibri"/>
      </rPr>
      <t>= 0,41, a</t>
    </r>
    <r>
      <rPr>
        <b/>
        <vertAlign val="subscript"/>
        <sz val="11"/>
        <color indexed="8"/>
        <rFont val="Calibri"/>
      </rPr>
      <t xml:space="preserve">2 </t>
    </r>
    <r>
      <rPr>
        <b/>
        <sz val="11"/>
        <color indexed="8"/>
        <rFont val="Calibri"/>
      </rPr>
      <t>= 0,47, a</t>
    </r>
    <r>
      <rPr>
        <b/>
        <vertAlign val="subscript"/>
        <sz val="11"/>
        <color indexed="8"/>
        <rFont val="Calibri"/>
      </rPr>
      <t xml:space="preserve">3 </t>
    </r>
    <r>
      <rPr>
        <b/>
        <sz val="11"/>
        <color indexed="8"/>
        <rFont val="Calibri"/>
      </rPr>
      <t>= 0,48 y a</t>
    </r>
    <r>
      <rPr>
        <b/>
        <vertAlign val="subscript"/>
        <sz val="11"/>
        <color indexed="8"/>
        <rFont val="Calibri"/>
      </rPr>
      <t xml:space="preserve">4 </t>
    </r>
    <r>
      <rPr>
        <b/>
        <sz val="11"/>
        <color indexed="8"/>
        <rFont val="Calibri"/>
      </rPr>
      <t>= 0,48</t>
    </r>
  </si>
  <si>
    <t>PUEBLA: DIAGRAMA DE LEXIS, DEFUNCIONES MASCULINAS, 2017-2024</t>
  </si>
  <si>
    <t>PAÍS X: DIAGRAMA DE LEXIS, DEFUNCIONES FEMENINAS, 2017-2024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</si>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</sst>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_)"/>
    <numFmt numFmtId="165" formatCode="0.0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8"/>
      <name val="MS Sans Serif"/>
      <family val="2"/>
    </font>
    <font>
      <sz val="9"/>
      <name val="MS Sans Serif"/>
      <family val="2"/>
    </font>
    <font>
      <sz val="8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i/>
      <sz val="9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color indexed="8"/>
      <name val="Calibri"/>
    </font>
    <font>
      <b/>
      <vertAlign val="subscript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15" fillId="0" borderId="0"/>
  </cellStyleXfs>
  <cellXfs count="117">
    <xf numFmtId="0" fontId="0" fillId="0" borderId="0" xfId="0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vertical="top" wrapText="1"/>
    </xf>
    <xf numFmtId="3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1" fillId="0" borderId="0" xfId="0" quotePrefix="1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/>
    <xf numFmtId="1" fontId="10" fillId="4" borderId="0" xfId="0" applyNumberFormat="1" applyFont="1" applyFill="1"/>
    <xf numFmtId="1" fontId="11" fillId="4" borderId="0" xfId="0" applyNumberFormat="1" applyFont="1" applyFill="1"/>
    <xf numFmtId="1" fontId="11" fillId="4" borderId="0" xfId="0" applyNumberFormat="1" applyFont="1" applyFill="1" applyAlignment="1">
      <alignment horizontal="center"/>
    </xf>
    <xf numFmtId="1" fontId="4" fillId="4" borderId="0" xfId="0" applyNumberFormat="1" applyFont="1" applyFill="1"/>
    <xf numFmtId="0" fontId="4" fillId="4" borderId="0" xfId="0" applyFont="1" applyFill="1" applyAlignment="1">
      <alignment horizontal="left"/>
    </xf>
    <xf numFmtId="1" fontId="10" fillId="4" borderId="0" xfId="0" applyNumberFormat="1" applyFont="1" applyFill="1" applyAlignment="1">
      <alignment horizontal="left"/>
    </xf>
    <xf numFmtId="1" fontId="11" fillId="4" borderId="0" xfId="0" applyNumberFormat="1" applyFont="1" applyFill="1" applyAlignment="1">
      <alignment horizontal="left"/>
    </xf>
    <xf numFmtId="1" fontId="11" fillId="4" borderId="5" xfId="0" applyNumberFormat="1" applyFont="1" applyFill="1" applyBorder="1" applyAlignment="1">
      <alignment horizontal="left"/>
    </xf>
    <xf numFmtId="1" fontId="11" fillId="4" borderId="6" xfId="0" applyNumberFormat="1" applyFont="1" applyFill="1" applyBorder="1"/>
    <xf numFmtId="1" fontId="11" fillId="4" borderId="8" xfId="0" applyNumberFormat="1" applyFont="1" applyFill="1" applyBorder="1"/>
    <xf numFmtId="1" fontId="11" fillId="4" borderId="6" xfId="0" applyNumberFormat="1" applyFont="1" applyFill="1" applyBorder="1" applyAlignment="1">
      <alignment horizontal="center"/>
    </xf>
    <xf numFmtId="1" fontId="4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right" vertical="center"/>
    </xf>
    <xf numFmtId="1" fontId="11" fillId="4" borderId="0" xfId="0" applyNumberFormat="1" applyFont="1" applyFill="1" applyAlignment="1">
      <alignment horizontal="center" vertical="center" textRotation="90"/>
    </xf>
    <xf numFmtId="165" fontId="4" fillId="4" borderId="0" xfId="0" applyNumberFormat="1" applyFont="1" applyFill="1"/>
    <xf numFmtId="164" fontId="6" fillId="2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4" borderId="0" xfId="0" applyFont="1" applyFill="1"/>
    <xf numFmtId="166" fontId="6" fillId="0" borderId="14" xfId="0" applyNumberFormat="1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/>
    </xf>
    <xf numFmtId="166" fontId="6" fillId="0" borderId="17" xfId="0" applyNumberFormat="1" applyFont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" fontId="6" fillId="2" borderId="2" xfId="1" applyNumberFormat="1" applyFont="1" applyFill="1" applyBorder="1" applyAlignment="1">
      <alignment horizontal="center" vertical="center"/>
    </xf>
    <xf numFmtId="1" fontId="6" fillId="3" borderId="2" xfId="1" applyNumberFormat="1" applyFont="1" applyFill="1" applyBorder="1" applyAlignment="1">
      <alignment horizontal="center" vertical="center"/>
    </xf>
    <xf numFmtId="1" fontId="6" fillId="2" borderId="16" xfId="0" applyNumberFormat="1" applyFont="1" applyFill="1" applyBorder="1" applyAlignment="1">
      <alignment horizontal="center" vertical="center"/>
    </xf>
    <xf numFmtId="1" fontId="6" fillId="3" borderId="16" xfId="0" applyNumberFormat="1" applyFont="1" applyFill="1" applyBorder="1" applyAlignment="1">
      <alignment horizontal="center" vertical="center"/>
    </xf>
    <xf numFmtId="1" fontId="6" fillId="2" borderId="16" xfId="1" applyNumberFormat="1" applyFont="1" applyFill="1" applyBorder="1" applyAlignment="1">
      <alignment horizontal="center" vertical="center"/>
    </xf>
    <xf numFmtId="1" fontId="6" fillId="3" borderId="16" xfId="1" applyNumberFormat="1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6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right" vertical="center"/>
    </xf>
    <xf numFmtId="49" fontId="17" fillId="4" borderId="0" xfId="0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49" fontId="17" fillId="4" borderId="0" xfId="0" applyNumberFormat="1" applyFont="1" applyFill="1" applyAlignment="1">
      <alignment horizontal="left" vertical="center"/>
    </xf>
    <xf numFmtId="1" fontId="0" fillId="4" borderId="0" xfId="0" applyNumberFormat="1" applyFill="1" applyAlignment="1">
      <alignment vertical="center"/>
    </xf>
    <xf numFmtId="0" fontId="16" fillId="0" borderId="0" xfId="2" applyFont="1"/>
    <xf numFmtId="1" fontId="11" fillId="4" borderId="5" xfId="0" applyNumberFormat="1" applyFont="1" applyFill="1" applyBorder="1" applyAlignment="1">
      <alignment horizontal="left" vertical="center"/>
    </xf>
    <xf numFmtId="1" fontId="11" fillId="4" borderId="6" xfId="0" applyNumberFormat="1" applyFont="1" applyFill="1" applyBorder="1" applyAlignment="1">
      <alignment vertical="center"/>
    </xf>
    <xf numFmtId="1" fontId="11" fillId="4" borderId="8" xfId="0" applyNumberFormat="1" applyFont="1" applyFill="1" applyBorder="1" applyAlignment="1">
      <alignment vertical="center"/>
    </xf>
    <xf numFmtId="1" fontId="11" fillId="4" borderId="6" xfId="0" applyNumberFormat="1" applyFont="1" applyFill="1" applyBorder="1" applyAlignment="1">
      <alignment horizontal="center" vertical="center" textRotation="90"/>
    </xf>
    <xf numFmtId="0" fontId="5" fillId="4" borderId="0" xfId="0" applyFont="1" applyFill="1" applyAlignment="1">
      <alignment horizontal="center" vertical="center"/>
    </xf>
    <xf numFmtId="1" fontId="11" fillId="4" borderId="7" xfId="0" applyNumberFormat="1" applyFont="1" applyFill="1" applyBorder="1" applyAlignment="1">
      <alignment horizontal="center" vertical="center" textRotation="90"/>
    </xf>
    <xf numFmtId="0" fontId="12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 textRotation="90"/>
    </xf>
    <xf numFmtId="0" fontId="6" fillId="0" borderId="1" xfId="0" applyFont="1" applyBorder="1" applyAlignment="1">
      <alignment horizontal="left" vertical="center" wrapText="1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" fontId="9" fillId="0" borderId="0" xfId="0" quotePrefix="1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3" xfId="2" xr:uid="{033A0FCD-A1BB-46CF-B577-5CE6E29C678E}"/>
  </cellStyles>
  <dxfs count="0"/>
  <tableStyles count="0" defaultTableStyle="TableStyleMedium9" defaultPivotStyle="PivotStyleLight16"/>
  <colors>
    <mruColors>
      <color rgb="FFFFFF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6350</xdr:rowOff>
    </xdr:from>
    <xdr:to>
      <xdr:col>14</xdr:col>
      <xdr:colOff>0</xdr:colOff>
      <xdr:row>28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D1F3829-5499-4E56-A3A6-890CF9CBECC2}"/>
            </a:ext>
          </a:extLst>
        </xdr:cNvPr>
        <xdr:cNvCxnSpPr/>
      </xdr:nvCxnSpPr>
      <xdr:spPr>
        <a:xfrm flipV="1">
          <a:off x="990600" y="349250"/>
          <a:ext cx="4076700" cy="4565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4</xdr:row>
      <xdr:rowOff>0</xdr:rowOff>
    </xdr:from>
    <xdr:to>
      <xdr:col>15</xdr:col>
      <xdr:colOff>704850</xdr:colOff>
      <xdr:row>27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111C58-5387-430C-B60E-63F61A1EDFDD}"/>
            </a:ext>
          </a:extLst>
        </xdr:cNvPr>
        <xdr:cNvCxnSpPr/>
      </xdr:nvCxnSpPr>
      <xdr:spPr>
        <a:xfrm flipV="1">
          <a:off x="1835150" y="342900"/>
          <a:ext cx="4079875" cy="4562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168275</xdr:colOff>
      <xdr:row>3</xdr:row>
      <xdr:rowOff>180975</xdr:rowOff>
    </xdr:from>
    <xdr:to>
      <xdr:col>18</xdr:col>
      <xdr:colOff>0</xdr:colOff>
      <xdr:row>27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7AB837-465F-4294-AE32-E40879815155}"/>
            </a:ext>
          </a:extLst>
        </xdr:cNvPr>
        <xdr:cNvCxnSpPr/>
      </xdr:nvCxnSpPr>
      <xdr:spPr>
        <a:xfrm flipV="1">
          <a:off x="2682875" y="333375"/>
          <a:ext cx="4079875" cy="457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0</xdr:rowOff>
    </xdr:from>
    <xdr:to>
      <xdr:col>19</xdr:col>
      <xdr:colOff>704850</xdr:colOff>
      <xdr:row>27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61FA065-9324-45FE-8B7A-0972FDF3814C}"/>
            </a:ext>
          </a:extLst>
        </xdr:cNvPr>
        <xdr:cNvCxnSpPr/>
      </xdr:nvCxnSpPr>
      <xdr:spPr>
        <a:xfrm flipV="1">
          <a:off x="3533775" y="342900"/>
          <a:ext cx="4076700" cy="4562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9</xdr:row>
      <xdr:rowOff>0</xdr:rowOff>
    </xdr:from>
    <xdr:to>
      <xdr:col>20</xdr:col>
      <xdr:colOff>0</xdr:colOff>
      <xdr:row>27</xdr:row>
      <xdr:rowOff>177800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E89DB5-2CB4-4D1D-8EC9-679D9226100D}"/>
            </a:ext>
          </a:extLst>
        </xdr:cNvPr>
        <xdr:cNvCxnSpPr/>
      </xdr:nvCxnSpPr>
      <xdr:spPr>
        <a:xfrm flipV="1">
          <a:off x="4381500" y="1295400"/>
          <a:ext cx="3228975" cy="3606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19</xdr:col>
      <xdr:colOff>704850</xdr:colOff>
      <xdr:row>27</xdr:row>
      <xdr:rowOff>180975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CA3968D-075E-43F5-B9DA-7888A4DFC4CB}"/>
            </a:ext>
          </a:extLst>
        </xdr:cNvPr>
        <xdr:cNvCxnSpPr/>
      </xdr:nvCxnSpPr>
      <xdr:spPr>
        <a:xfrm flipV="1">
          <a:off x="5229225" y="2247900"/>
          <a:ext cx="2381250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161925</xdr:colOff>
      <xdr:row>18</xdr:row>
      <xdr:rowOff>180975</xdr:rowOff>
    </xdr:from>
    <xdr:to>
      <xdr:col>20</xdr:col>
      <xdr:colOff>9525</xdr:colOff>
      <xdr:row>27</xdr:row>
      <xdr:rowOff>177800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7B7F76F-958D-4BF6-9B14-37821FE36505}"/>
            </a:ext>
          </a:extLst>
        </xdr:cNvPr>
        <xdr:cNvCxnSpPr/>
      </xdr:nvCxnSpPr>
      <xdr:spPr>
        <a:xfrm flipV="1">
          <a:off x="6076950" y="3190875"/>
          <a:ext cx="1543050" cy="1711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177800</xdr:rowOff>
    </xdr:from>
    <xdr:to>
      <xdr:col>20</xdr:col>
      <xdr:colOff>9525</xdr:colOff>
      <xdr:row>28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6A7F09-1C56-430E-96ED-38A2F9B67BA3}"/>
            </a:ext>
          </a:extLst>
        </xdr:cNvPr>
        <xdr:cNvCxnSpPr/>
      </xdr:nvCxnSpPr>
      <xdr:spPr>
        <a:xfrm flipV="1">
          <a:off x="6924675" y="4140200"/>
          <a:ext cx="695325" cy="774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742950</xdr:colOff>
      <xdr:row>3</xdr:row>
      <xdr:rowOff>177800</xdr:rowOff>
    </xdr:from>
    <xdr:to>
      <xdr:col>35</xdr:col>
      <xdr:colOff>6350</xdr:colOff>
      <xdr:row>28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EADE2DA-1073-4361-AB62-B0204B39D82C}"/>
            </a:ext>
          </a:extLst>
        </xdr:cNvPr>
        <xdr:cNvCxnSpPr/>
      </xdr:nvCxnSpPr>
      <xdr:spPr>
        <a:xfrm flipV="1">
          <a:off x="9077325" y="330200"/>
          <a:ext cx="4083050" cy="4594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4</xdr:row>
      <xdr:rowOff>0</xdr:rowOff>
    </xdr:from>
    <xdr:to>
      <xdr:col>36</xdr:col>
      <xdr:colOff>704850</xdr:colOff>
      <xdr:row>27</xdr:row>
      <xdr:rowOff>180976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97D172-75CB-4D4B-9B29-DDC167090572}"/>
            </a:ext>
          </a:extLst>
        </xdr:cNvPr>
        <xdr:cNvCxnSpPr/>
      </xdr:nvCxnSpPr>
      <xdr:spPr>
        <a:xfrm flipV="1">
          <a:off x="9925050" y="342900"/>
          <a:ext cx="4076700" cy="45624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</xdr:row>
      <xdr:rowOff>177800</xdr:rowOff>
    </xdr:from>
    <xdr:to>
      <xdr:col>39</xdr:col>
      <xdr:colOff>9525</xdr:colOff>
      <xdr:row>27</xdr:row>
      <xdr:rowOff>177800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9BB807E-4941-45EA-8233-2B1181E6E5D6}"/>
            </a:ext>
          </a:extLst>
        </xdr:cNvPr>
        <xdr:cNvCxnSpPr/>
      </xdr:nvCxnSpPr>
      <xdr:spPr>
        <a:xfrm flipV="1">
          <a:off x="10782300" y="330200"/>
          <a:ext cx="4076700" cy="457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</xdr:row>
      <xdr:rowOff>9525</xdr:rowOff>
    </xdr:from>
    <xdr:to>
      <xdr:col>40</xdr:col>
      <xdr:colOff>701675</xdr:colOff>
      <xdr:row>27</xdr:row>
      <xdr:rowOff>187325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84BCD12-8624-473B-ABD3-DA622A5C4824}"/>
            </a:ext>
          </a:extLst>
        </xdr:cNvPr>
        <xdr:cNvCxnSpPr/>
      </xdr:nvCxnSpPr>
      <xdr:spPr>
        <a:xfrm flipV="1">
          <a:off x="11620500" y="352425"/>
          <a:ext cx="4073525" cy="4559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9</xdr:row>
      <xdr:rowOff>0</xdr:rowOff>
    </xdr:from>
    <xdr:to>
      <xdr:col>41</xdr:col>
      <xdr:colOff>0</xdr:colOff>
      <xdr:row>27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A5F3841-929D-4B26-9E83-C20F6A0A0065}"/>
            </a:ext>
          </a:extLst>
        </xdr:cNvPr>
        <xdr:cNvCxnSpPr/>
      </xdr:nvCxnSpPr>
      <xdr:spPr>
        <a:xfrm flipV="1">
          <a:off x="12468225" y="1295400"/>
          <a:ext cx="3228975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161925</xdr:colOff>
      <xdr:row>14</xdr:row>
      <xdr:rowOff>9525</xdr:rowOff>
    </xdr:from>
    <xdr:to>
      <xdr:col>40</xdr:col>
      <xdr:colOff>692150</xdr:colOff>
      <xdr:row>28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E9F93A2-BF85-4A96-A78C-09B626B257CD}"/>
            </a:ext>
          </a:extLst>
        </xdr:cNvPr>
        <xdr:cNvCxnSpPr/>
      </xdr:nvCxnSpPr>
      <xdr:spPr>
        <a:xfrm flipV="1">
          <a:off x="13315950" y="2257425"/>
          <a:ext cx="2378075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161925</xdr:colOff>
      <xdr:row>18</xdr:row>
      <xdr:rowOff>168276</xdr:rowOff>
    </xdr:from>
    <xdr:to>
      <xdr:col>40</xdr:col>
      <xdr:colOff>711200</xdr:colOff>
      <xdr:row>28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FDB6678-C053-4C66-9F3D-B4F03EE9E3A2}"/>
            </a:ext>
          </a:extLst>
        </xdr:cNvPr>
        <xdr:cNvCxnSpPr/>
      </xdr:nvCxnSpPr>
      <xdr:spPr>
        <a:xfrm flipV="1">
          <a:off x="14163675" y="3178176"/>
          <a:ext cx="1530350" cy="17367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168275</xdr:colOff>
      <xdr:row>23</xdr:row>
      <xdr:rowOff>177800</xdr:rowOff>
    </xdr:from>
    <xdr:to>
      <xdr:col>41</xdr:col>
      <xdr:colOff>9525</xdr:colOff>
      <xdr:row>27</xdr:row>
      <xdr:rowOff>187325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7212037-9C39-4B12-B64B-E949C8CC5FA3}"/>
            </a:ext>
          </a:extLst>
        </xdr:cNvPr>
        <xdr:cNvCxnSpPr/>
      </xdr:nvCxnSpPr>
      <xdr:spPr>
        <a:xfrm flipV="1">
          <a:off x="15008225" y="4140200"/>
          <a:ext cx="698500" cy="77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1</xdr:row>
      <xdr:rowOff>114300</xdr:rowOff>
    </xdr:from>
    <xdr:to>
      <xdr:col>4</xdr:col>
      <xdr:colOff>285750</xdr:colOff>
      <xdr:row>30</xdr:row>
      <xdr:rowOff>9527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4726A84-2C5D-412F-AA1D-D925E5CD853D}"/>
            </a:ext>
          </a:extLst>
        </xdr:cNvPr>
        <xdr:cNvCxnSpPr/>
      </xdr:nvCxnSpPr>
      <xdr:spPr>
        <a:xfrm flipV="1">
          <a:off x="485775" y="114300"/>
          <a:ext cx="9525" cy="5381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29</xdr:row>
      <xdr:rowOff>19050</xdr:rowOff>
    </xdr:from>
    <xdr:to>
      <xdr:col>20</xdr:col>
      <xdr:colOff>152400</xdr:colOff>
      <xdr:row>29</xdr:row>
      <xdr:rowOff>19051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DB86B5A-9BFE-4636-A51D-70C393772708}"/>
            </a:ext>
          </a:extLst>
        </xdr:cNvPr>
        <xdr:cNvCxnSpPr/>
      </xdr:nvCxnSpPr>
      <xdr:spPr>
        <a:xfrm>
          <a:off x="352425" y="5314950"/>
          <a:ext cx="69723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152400</xdr:colOff>
      <xdr:row>1</xdr:row>
      <xdr:rowOff>104775</xdr:rowOff>
    </xdr:from>
    <xdr:to>
      <xdr:col>25</xdr:col>
      <xdr:colOff>161925</xdr:colOff>
      <xdr:row>30</xdr:row>
      <xdr:rowOff>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B5B9145-2324-42D4-BD6B-37BD13E2E87A}"/>
            </a:ext>
          </a:extLst>
        </xdr:cNvPr>
        <xdr:cNvCxnSpPr/>
      </xdr:nvCxnSpPr>
      <xdr:spPr>
        <a:xfrm flipV="1">
          <a:off x="7962900" y="104775"/>
          <a:ext cx="9525" cy="5381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29</xdr:row>
      <xdr:rowOff>19050</xdr:rowOff>
    </xdr:from>
    <xdr:to>
      <xdr:col>42</xdr:col>
      <xdr:colOff>38100</xdr:colOff>
      <xdr:row>29</xdr:row>
      <xdr:rowOff>19051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22DE4E0-01E3-4FC1-A46C-5E822D16402C}"/>
            </a:ext>
          </a:extLst>
        </xdr:cNvPr>
        <xdr:cNvCxnSpPr/>
      </xdr:nvCxnSpPr>
      <xdr:spPr>
        <a:xfrm>
          <a:off x="7867650" y="5314950"/>
          <a:ext cx="69723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8"/>
  <sheetViews>
    <sheetView topLeftCell="A32" zoomScaleNormal="100" workbookViewId="0">
      <selection activeCell="A38" sqref="A38:XFD38"/>
    </sheetView>
  </sheetViews>
  <sheetFormatPr baseColWidth="10" defaultColWidth="9.109375" defaultRowHeight="14.4" x14ac:dyDescent="0.3"/>
  <cols>
    <col min="1" max="1" width="4.44140625" customWidth="1"/>
    <col min="2" max="2" width="8.5546875" style="9" customWidth="1"/>
    <col min="3" max="10" width="9.5546875" style="9" customWidth="1"/>
    <col min="11" max="12" width="10.6640625" customWidth="1"/>
    <col min="13" max="13" width="9.33203125" customWidth="1"/>
    <col min="14" max="23" width="9" customWidth="1"/>
  </cols>
  <sheetData>
    <row r="1" spans="2:20" x14ac:dyDescent="0.3">
      <c r="B1"/>
      <c r="C1"/>
      <c r="D1"/>
      <c r="E1"/>
      <c r="F1"/>
      <c r="G1"/>
      <c r="H1"/>
      <c r="I1"/>
      <c r="J1"/>
    </row>
    <row r="2" spans="2:20" x14ac:dyDescent="0.3">
      <c r="B2" s="104" t="s">
        <v>0</v>
      </c>
      <c r="C2" s="105"/>
      <c r="D2" s="105"/>
      <c r="E2" s="105"/>
      <c r="F2" s="105"/>
      <c r="G2"/>
      <c r="H2"/>
      <c r="I2"/>
      <c r="J2"/>
      <c r="M2" s="5"/>
      <c r="N2" s="5"/>
      <c r="O2" s="5"/>
      <c r="P2" s="5"/>
      <c r="Q2" s="5"/>
      <c r="R2" s="5"/>
      <c r="S2" s="5"/>
      <c r="T2" s="5"/>
    </row>
    <row r="3" spans="2:20" ht="28.5" customHeight="1" x14ac:dyDescent="0.3">
      <c r="B3" s="106" t="s">
        <v>20</v>
      </c>
      <c r="C3" s="106"/>
      <c r="D3" s="106"/>
      <c r="E3" s="106"/>
      <c r="F3" s="106"/>
      <c r="G3"/>
      <c r="H3"/>
      <c r="I3"/>
      <c r="J3"/>
      <c r="L3" s="1"/>
      <c r="M3" s="1"/>
      <c r="N3" s="1"/>
      <c r="O3" s="1"/>
      <c r="P3" s="1"/>
      <c r="Q3" s="1"/>
      <c r="R3" s="1"/>
      <c r="S3" s="1"/>
      <c r="T3" s="1"/>
    </row>
    <row r="4" spans="2:20" x14ac:dyDescent="0.3">
      <c r="B4" s="12"/>
      <c r="C4" s="12"/>
      <c r="D4" s="12"/>
      <c r="E4" s="12"/>
      <c r="F4" s="12"/>
      <c r="G4"/>
      <c r="H4"/>
      <c r="I4"/>
      <c r="J4"/>
      <c r="L4" s="1"/>
      <c r="M4" s="1"/>
      <c r="N4" s="1"/>
      <c r="O4" s="1"/>
      <c r="P4" s="1"/>
      <c r="Q4" s="1"/>
      <c r="R4" s="1"/>
      <c r="S4" s="1"/>
      <c r="T4" s="1"/>
    </row>
    <row r="5" spans="2:20" ht="28.5" customHeight="1" x14ac:dyDescent="0.3">
      <c r="B5" s="107" t="s">
        <v>1</v>
      </c>
      <c r="C5" s="102" t="s">
        <v>21</v>
      </c>
      <c r="D5" s="110"/>
      <c r="E5" s="110"/>
      <c r="F5" s="103"/>
      <c r="G5"/>
      <c r="H5"/>
      <c r="I5"/>
      <c r="J5"/>
      <c r="L5" s="1"/>
      <c r="M5" s="1"/>
      <c r="N5" s="1"/>
      <c r="O5" s="1"/>
      <c r="P5" s="1"/>
      <c r="Q5" s="1"/>
      <c r="R5" s="1"/>
      <c r="S5" s="1"/>
      <c r="T5" s="1"/>
    </row>
    <row r="6" spans="2:20" x14ac:dyDescent="0.3">
      <c r="B6" s="108"/>
      <c r="C6" s="101" t="s">
        <v>2</v>
      </c>
      <c r="D6" s="101"/>
      <c r="E6" s="111" t="s">
        <v>3</v>
      </c>
      <c r="F6" s="111"/>
      <c r="G6"/>
      <c r="H6"/>
      <c r="I6"/>
      <c r="J6"/>
      <c r="L6" s="1"/>
      <c r="M6" s="1"/>
      <c r="N6" s="1"/>
      <c r="O6" s="1"/>
      <c r="P6" s="1"/>
      <c r="Q6" s="1"/>
      <c r="R6" s="1"/>
      <c r="S6" s="1"/>
      <c r="T6" s="1"/>
    </row>
    <row r="7" spans="2:20" x14ac:dyDescent="0.3">
      <c r="B7" s="109"/>
      <c r="C7" s="71" t="s">
        <v>4</v>
      </c>
      <c r="D7" s="71" t="s">
        <v>5</v>
      </c>
      <c r="E7" s="71" t="s">
        <v>4</v>
      </c>
      <c r="F7" s="71" t="s">
        <v>5</v>
      </c>
      <c r="G7"/>
      <c r="H7"/>
      <c r="I7"/>
      <c r="J7"/>
      <c r="L7" s="1"/>
      <c r="M7" s="1"/>
      <c r="N7" s="1"/>
      <c r="O7" s="1"/>
      <c r="P7" s="1"/>
      <c r="Q7" s="1"/>
      <c r="R7" s="1"/>
      <c r="S7" s="1"/>
      <c r="T7" s="1"/>
    </row>
    <row r="8" spans="2:20" x14ac:dyDescent="0.3">
      <c r="B8" s="72">
        <v>2009</v>
      </c>
      <c r="C8" s="73">
        <v>77580</v>
      </c>
      <c r="D8" s="74">
        <v>78075</v>
      </c>
      <c r="E8" s="75">
        <v>1336</v>
      </c>
      <c r="F8" s="76">
        <v>1005</v>
      </c>
      <c r="G8"/>
      <c r="H8"/>
      <c r="I8"/>
      <c r="J8"/>
      <c r="L8" s="1"/>
      <c r="M8" s="1"/>
      <c r="N8" s="1"/>
      <c r="O8" s="1"/>
      <c r="P8" s="1"/>
      <c r="Q8" s="1"/>
      <c r="R8" s="1"/>
      <c r="S8" s="1"/>
      <c r="T8" s="1"/>
    </row>
    <row r="9" spans="2:20" x14ac:dyDescent="0.3">
      <c r="B9" s="72">
        <v>2010</v>
      </c>
      <c r="C9" s="73">
        <v>79466</v>
      </c>
      <c r="D9" s="74">
        <v>80970</v>
      </c>
      <c r="E9" s="75">
        <v>1286</v>
      </c>
      <c r="F9" s="76">
        <v>1006</v>
      </c>
      <c r="G9"/>
      <c r="H9"/>
      <c r="I9"/>
      <c r="J9"/>
      <c r="L9" s="1"/>
      <c r="M9" s="1"/>
      <c r="N9" s="1"/>
      <c r="O9" s="1"/>
      <c r="P9" s="1"/>
      <c r="Q9" s="1"/>
      <c r="R9" s="1"/>
      <c r="S9" s="1"/>
      <c r="T9" s="1"/>
    </row>
    <row r="10" spans="2:20" x14ac:dyDescent="0.3">
      <c r="B10" s="13">
        <v>2011</v>
      </c>
      <c r="C10" s="73">
        <v>72909</v>
      </c>
      <c r="D10" s="74">
        <v>73894</v>
      </c>
      <c r="E10" s="75">
        <v>1179</v>
      </c>
      <c r="F10" s="76">
        <v>1011</v>
      </c>
      <c r="G10"/>
      <c r="H10"/>
      <c r="I10"/>
      <c r="J10"/>
      <c r="L10" s="1"/>
      <c r="M10" s="1"/>
      <c r="N10" s="1"/>
      <c r="O10" s="1"/>
      <c r="P10" s="1"/>
      <c r="Q10" s="1"/>
      <c r="R10" s="1"/>
      <c r="S10" s="1"/>
      <c r="T10" s="1"/>
    </row>
    <row r="11" spans="2:20" x14ac:dyDescent="0.3">
      <c r="B11" s="13">
        <v>2012</v>
      </c>
      <c r="C11" s="73">
        <v>73535</v>
      </c>
      <c r="D11" s="74">
        <v>73746</v>
      </c>
      <c r="E11" s="75">
        <v>1170</v>
      </c>
      <c r="F11" s="76">
        <v>904</v>
      </c>
      <c r="G11"/>
      <c r="H11"/>
      <c r="I11"/>
      <c r="J11"/>
      <c r="L11" s="2"/>
      <c r="M11" s="4"/>
      <c r="N11" s="4"/>
      <c r="O11" s="4"/>
      <c r="P11" s="1"/>
      <c r="Q11" s="1"/>
      <c r="R11" s="1"/>
      <c r="S11" s="1"/>
      <c r="T11" s="1"/>
    </row>
    <row r="12" spans="2:20" x14ac:dyDescent="0.3">
      <c r="B12" s="13">
        <v>2013</v>
      </c>
      <c r="C12" s="73">
        <v>70764</v>
      </c>
      <c r="D12" s="74">
        <v>69733</v>
      </c>
      <c r="E12" s="75">
        <v>1102</v>
      </c>
      <c r="F12" s="76">
        <v>846</v>
      </c>
      <c r="G12"/>
      <c r="H12"/>
      <c r="I12"/>
      <c r="J12"/>
      <c r="L12" s="2"/>
      <c r="M12" s="4"/>
      <c r="N12" s="4"/>
      <c r="P12" s="1"/>
      <c r="Q12" s="1"/>
      <c r="R12" s="1"/>
      <c r="S12" s="1"/>
      <c r="T12" s="1"/>
    </row>
    <row r="13" spans="2:20" x14ac:dyDescent="0.3">
      <c r="B13" s="13">
        <v>2014</v>
      </c>
      <c r="C13" s="73">
        <v>75955</v>
      </c>
      <c r="D13" s="74">
        <v>74676</v>
      </c>
      <c r="E13" s="75">
        <v>1008</v>
      </c>
      <c r="F13" s="76">
        <v>775</v>
      </c>
      <c r="G13"/>
      <c r="H13"/>
      <c r="I13"/>
      <c r="J13"/>
      <c r="L13" s="2"/>
      <c r="M13" s="3"/>
      <c r="N13" s="3"/>
      <c r="O13" s="4"/>
      <c r="P13" s="1"/>
      <c r="Q13" s="1"/>
      <c r="R13" s="1"/>
      <c r="S13" s="1"/>
      <c r="T13" s="1"/>
    </row>
    <row r="14" spans="2:20" x14ac:dyDescent="0.3">
      <c r="B14" s="13">
        <v>2015</v>
      </c>
      <c r="C14" s="73">
        <v>70819</v>
      </c>
      <c r="D14" s="74">
        <v>70302</v>
      </c>
      <c r="E14" s="75">
        <v>946</v>
      </c>
      <c r="F14" s="76">
        <v>796</v>
      </c>
      <c r="G14"/>
      <c r="H14"/>
      <c r="I14"/>
      <c r="J14"/>
      <c r="L14" s="2"/>
      <c r="M14" s="3"/>
      <c r="N14" s="3"/>
      <c r="O14" s="4"/>
      <c r="P14" s="1"/>
      <c r="Q14" s="1"/>
      <c r="R14" s="1"/>
      <c r="S14" s="1"/>
      <c r="T14" s="1"/>
    </row>
    <row r="15" spans="2:20" x14ac:dyDescent="0.3">
      <c r="B15" s="13">
        <v>2016</v>
      </c>
      <c r="C15" s="73">
        <v>67019</v>
      </c>
      <c r="D15" s="74">
        <v>65804</v>
      </c>
      <c r="E15" s="75">
        <v>955</v>
      </c>
      <c r="F15" s="76">
        <v>813</v>
      </c>
      <c r="G15"/>
      <c r="H15"/>
      <c r="I15"/>
      <c r="J15"/>
      <c r="Q15" s="1"/>
      <c r="R15" s="1"/>
      <c r="S15" s="1"/>
      <c r="T15" s="1"/>
    </row>
    <row r="16" spans="2:20" x14ac:dyDescent="0.3">
      <c r="B16" s="13">
        <v>2017</v>
      </c>
      <c r="C16" s="73">
        <v>68838</v>
      </c>
      <c r="D16" s="74">
        <v>67433</v>
      </c>
      <c r="E16" s="75">
        <v>1044</v>
      </c>
      <c r="F16" s="76">
        <v>823</v>
      </c>
      <c r="G16"/>
      <c r="H16"/>
      <c r="I16"/>
      <c r="J16"/>
      <c r="Q16" s="1"/>
      <c r="R16" s="1"/>
      <c r="S16" s="1"/>
      <c r="T16" s="1"/>
    </row>
    <row r="17" spans="2:20" x14ac:dyDescent="0.3">
      <c r="B17" s="13">
        <v>2018</v>
      </c>
      <c r="C17" s="73">
        <v>64788</v>
      </c>
      <c r="D17" s="74">
        <v>62907</v>
      </c>
      <c r="E17" s="75">
        <v>936</v>
      </c>
      <c r="F17" s="76">
        <v>736</v>
      </c>
      <c r="G17"/>
      <c r="H17"/>
      <c r="I17"/>
      <c r="J17"/>
      <c r="Q17" s="1"/>
      <c r="R17" s="1"/>
      <c r="S17" s="1"/>
      <c r="T17" s="1"/>
    </row>
    <row r="18" spans="2:20" x14ac:dyDescent="0.3">
      <c r="B18" s="13">
        <v>2019</v>
      </c>
      <c r="C18" s="73">
        <v>62801</v>
      </c>
      <c r="D18" s="74">
        <v>61868</v>
      </c>
      <c r="E18" s="75">
        <v>937</v>
      </c>
      <c r="F18" s="76">
        <v>689</v>
      </c>
      <c r="G18"/>
      <c r="H18"/>
      <c r="I18"/>
      <c r="J18"/>
      <c r="Q18" s="1"/>
      <c r="R18" s="1"/>
      <c r="S18" s="1"/>
      <c r="T18" s="1"/>
    </row>
    <row r="19" spans="2:20" x14ac:dyDescent="0.3">
      <c r="B19" s="13">
        <v>2020</v>
      </c>
      <c r="C19" s="73">
        <v>52865</v>
      </c>
      <c r="D19" s="74">
        <v>51363</v>
      </c>
      <c r="E19" s="75">
        <v>853</v>
      </c>
      <c r="F19" s="76">
        <v>633</v>
      </c>
      <c r="G19"/>
      <c r="H19"/>
      <c r="I19"/>
      <c r="J19"/>
      <c r="Q19" s="1"/>
      <c r="R19" s="1"/>
      <c r="S19" s="1"/>
      <c r="T19" s="1"/>
    </row>
    <row r="20" spans="2:20" x14ac:dyDescent="0.3">
      <c r="B20" s="13">
        <v>2021</v>
      </c>
      <c r="C20" s="73">
        <v>57862</v>
      </c>
      <c r="D20" s="74">
        <v>56941</v>
      </c>
      <c r="E20" s="75">
        <v>720</v>
      </c>
      <c r="F20" s="76">
        <v>554</v>
      </c>
      <c r="G20"/>
      <c r="H20"/>
      <c r="I20"/>
      <c r="J20"/>
      <c r="Q20" s="1"/>
      <c r="R20" s="1"/>
      <c r="S20" s="1"/>
      <c r="T20" s="1"/>
    </row>
    <row r="21" spans="2:20" x14ac:dyDescent="0.3">
      <c r="B21" s="13">
        <v>2022</v>
      </c>
      <c r="C21" s="73">
        <v>57153</v>
      </c>
      <c r="D21" s="74">
        <v>55168</v>
      </c>
      <c r="E21" s="75">
        <v>743</v>
      </c>
      <c r="F21" s="76">
        <v>604</v>
      </c>
      <c r="G21"/>
      <c r="H21"/>
      <c r="I21"/>
      <c r="J21"/>
      <c r="Q21" s="1"/>
      <c r="R21" s="1"/>
      <c r="S21" s="1"/>
      <c r="T21" s="1"/>
    </row>
    <row r="22" spans="2:20" x14ac:dyDescent="0.3">
      <c r="B22" s="13">
        <v>2023</v>
      </c>
      <c r="C22" s="73">
        <v>53856</v>
      </c>
      <c r="D22" s="74">
        <v>52479</v>
      </c>
      <c r="E22" s="75">
        <v>757</v>
      </c>
      <c r="F22" s="76">
        <v>596</v>
      </c>
      <c r="G22"/>
      <c r="H22"/>
      <c r="I22"/>
      <c r="J22"/>
      <c r="Q22" s="1"/>
      <c r="R22" s="1"/>
      <c r="S22" s="1"/>
      <c r="T22" s="1"/>
    </row>
    <row r="23" spans="2:20" ht="14.4" customHeight="1" x14ac:dyDescent="0.3">
      <c r="B23" s="63">
        <v>2024</v>
      </c>
      <c r="C23" s="77">
        <v>47984</v>
      </c>
      <c r="D23" s="78">
        <v>46659</v>
      </c>
      <c r="E23" s="79">
        <v>621</v>
      </c>
      <c r="F23" s="80">
        <v>481</v>
      </c>
      <c r="G23"/>
      <c r="H23"/>
      <c r="I23"/>
      <c r="J23"/>
    </row>
    <row r="24" spans="2:20" x14ac:dyDescent="0.3">
      <c r="B24" s="81"/>
      <c r="C24" s="81"/>
      <c r="D24" s="81"/>
      <c r="E24" s="82"/>
      <c r="F24" s="82"/>
      <c r="G24"/>
      <c r="H24"/>
      <c r="I24"/>
      <c r="J24"/>
    </row>
    <row r="25" spans="2:20" x14ac:dyDescent="0.3">
      <c r="B25" s="89" t="s">
        <v>22</v>
      </c>
      <c r="C25" s="89"/>
      <c r="D25" s="89"/>
      <c r="E25" s="83"/>
      <c r="F25" s="83"/>
      <c r="G25"/>
      <c r="H25"/>
      <c r="I25"/>
      <c r="J25"/>
      <c r="L25" s="2"/>
      <c r="M25" s="4"/>
      <c r="N25" s="4"/>
      <c r="O25" s="4"/>
      <c r="P25" s="4"/>
    </row>
    <row r="26" spans="2:20" ht="14.4" customHeight="1" x14ac:dyDescent="0.3">
      <c r="B26"/>
      <c r="C26"/>
      <c r="D26"/>
      <c r="E26"/>
      <c r="F26"/>
      <c r="G26"/>
      <c r="H26"/>
      <c r="I26"/>
      <c r="J26"/>
      <c r="L26" s="2"/>
      <c r="M26" s="4"/>
      <c r="N26" s="4"/>
      <c r="O26" s="4"/>
      <c r="P26" s="4"/>
    </row>
    <row r="27" spans="2:20" ht="14.4" customHeight="1" x14ac:dyDescent="0.3">
      <c r="B27" s="99" t="s">
        <v>6</v>
      </c>
      <c r="C27" s="99"/>
      <c r="D27" s="99"/>
      <c r="E27" s="99"/>
      <c r="F27" s="99"/>
      <c r="G27" s="99"/>
      <c r="H27" s="99"/>
      <c r="I27" s="99"/>
      <c r="J27" s="99"/>
      <c r="L27" s="2"/>
      <c r="M27" s="4"/>
      <c r="N27" s="4"/>
      <c r="O27" s="4"/>
      <c r="P27" s="4"/>
    </row>
    <row r="28" spans="2:20" x14ac:dyDescent="0.3">
      <c r="B28" s="100" t="s">
        <v>23</v>
      </c>
      <c r="C28" s="100"/>
      <c r="D28" s="100"/>
      <c r="E28" s="100"/>
      <c r="F28" s="100"/>
      <c r="G28" s="100"/>
      <c r="H28" s="100"/>
      <c r="I28" s="100"/>
      <c r="J28" s="100"/>
      <c r="L28" s="2"/>
      <c r="M28" s="4"/>
      <c r="N28" s="4"/>
      <c r="O28" s="4"/>
      <c r="P28" s="4"/>
    </row>
    <row r="29" spans="2:20" x14ac:dyDescent="0.3">
      <c r="B29" s="12"/>
      <c r="C29" s="12"/>
      <c r="D29" s="12"/>
      <c r="E29" s="12"/>
      <c r="F29" s="12"/>
      <c r="G29" s="12"/>
      <c r="H29" s="12"/>
      <c r="I29" s="12"/>
      <c r="J29" s="12"/>
      <c r="L29" s="2"/>
      <c r="M29" s="4"/>
      <c r="N29" s="4"/>
      <c r="O29" s="4"/>
      <c r="P29" s="4"/>
    </row>
    <row r="30" spans="2:20" ht="15.6" x14ac:dyDescent="0.3">
      <c r="B30" s="14"/>
      <c r="C30" s="101" t="s">
        <v>7</v>
      </c>
      <c r="D30" s="101"/>
      <c r="E30" s="101" t="s">
        <v>8</v>
      </c>
      <c r="F30" s="101"/>
      <c r="G30" s="102" t="s">
        <v>9</v>
      </c>
      <c r="H30" s="103"/>
      <c r="I30" s="101" t="s">
        <v>10</v>
      </c>
      <c r="J30" s="101"/>
      <c r="L30" s="2"/>
      <c r="M30" s="4"/>
      <c r="N30" s="4"/>
      <c r="O30" s="4"/>
      <c r="P30" s="4"/>
    </row>
    <row r="31" spans="2:20" x14ac:dyDescent="0.3">
      <c r="B31" s="15" t="s">
        <v>1</v>
      </c>
      <c r="C31" s="16" t="s">
        <v>4</v>
      </c>
      <c r="D31" s="16" t="s">
        <v>5</v>
      </c>
      <c r="E31" s="16" t="s">
        <v>4</v>
      </c>
      <c r="F31" s="16" t="s">
        <v>5</v>
      </c>
      <c r="G31" s="16" t="s">
        <v>4</v>
      </c>
      <c r="H31" s="16" t="s">
        <v>5</v>
      </c>
      <c r="I31" s="16" t="s">
        <v>4</v>
      </c>
      <c r="J31" s="16" t="s">
        <v>5</v>
      </c>
    </row>
    <row r="32" spans="2:20" x14ac:dyDescent="0.3">
      <c r="B32" s="13">
        <v>2015</v>
      </c>
      <c r="C32" s="84">
        <v>89</v>
      </c>
      <c r="D32" s="40">
        <v>72</v>
      </c>
      <c r="E32" s="39">
        <v>51</v>
      </c>
      <c r="F32" s="40">
        <v>33</v>
      </c>
      <c r="G32" s="39">
        <v>45</v>
      </c>
      <c r="H32" s="40">
        <v>20</v>
      </c>
      <c r="I32" s="39">
        <v>23</v>
      </c>
      <c r="J32" s="40">
        <v>22</v>
      </c>
    </row>
    <row r="33" spans="2:10" x14ac:dyDescent="0.3">
      <c r="B33" s="13">
        <v>2016</v>
      </c>
      <c r="C33" s="84">
        <v>79</v>
      </c>
      <c r="D33" s="40">
        <v>84</v>
      </c>
      <c r="E33" s="39">
        <v>43</v>
      </c>
      <c r="F33" s="40">
        <v>38</v>
      </c>
      <c r="G33" s="39">
        <v>35</v>
      </c>
      <c r="H33" s="40">
        <v>23</v>
      </c>
      <c r="I33" s="39">
        <v>36</v>
      </c>
      <c r="J33" s="40">
        <v>22</v>
      </c>
    </row>
    <row r="34" spans="2:10" x14ac:dyDescent="0.3">
      <c r="B34" s="13">
        <v>2017</v>
      </c>
      <c r="C34" s="84">
        <v>78</v>
      </c>
      <c r="D34" s="40">
        <v>75</v>
      </c>
      <c r="E34" s="39">
        <v>43</v>
      </c>
      <c r="F34" s="40">
        <v>40</v>
      </c>
      <c r="G34" s="39">
        <v>30</v>
      </c>
      <c r="H34" s="40">
        <v>27</v>
      </c>
      <c r="I34" s="39">
        <v>34</v>
      </c>
      <c r="J34" s="40">
        <v>19</v>
      </c>
    </row>
    <row r="35" spans="2:10" x14ac:dyDescent="0.3">
      <c r="B35" s="13">
        <v>2018</v>
      </c>
      <c r="C35" s="84">
        <v>67</v>
      </c>
      <c r="D35" s="40">
        <v>62</v>
      </c>
      <c r="E35" s="39">
        <v>34</v>
      </c>
      <c r="F35" s="40">
        <v>34</v>
      </c>
      <c r="G35" s="39">
        <v>39</v>
      </c>
      <c r="H35" s="40">
        <v>17</v>
      </c>
      <c r="I35" s="39">
        <v>22</v>
      </c>
      <c r="J35" s="40">
        <v>17</v>
      </c>
    </row>
    <row r="36" spans="2:10" x14ac:dyDescent="0.3">
      <c r="B36" s="13">
        <v>2019</v>
      </c>
      <c r="C36" s="84">
        <v>75</v>
      </c>
      <c r="D36" s="40">
        <v>72</v>
      </c>
      <c r="E36" s="39">
        <v>36</v>
      </c>
      <c r="F36" s="40">
        <v>36</v>
      </c>
      <c r="G36" s="39">
        <v>28</v>
      </c>
      <c r="H36" s="40">
        <v>18</v>
      </c>
      <c r="I36" s="39">
        <v>20</v>
      </c>
      <c r="J36" s="40">
        <v>23</v>
      </c>
    </row>
    <row r="37" spans="2:10" x14ac:dyDescent="0.3">
      <c r="B37" s="13">
        <v>2020</v>
      </c>
      <c r="C37" s="84">
        <v>55</v>
      </c>
      <c r="D37" s="40">
        <v>59</v>
      </c>
      <c r="E37" s="39">
        <v>25</v>
      </c>
      <c r="F37" s="40">
        <v>31</v>
      </c>
      <c r="G37" s="39">
        <v>24</v>
      </c>
      <c r="H37" s="40">
        <v>18</v>
      </c>
      <c r="I37" s="39">
        <v>22</v>
      </c>
      <c r="J37" s="40">
        <v>10</v>
      </c>
    </row>
    <row r="38" spans="2:10" x14ac:dyDescent="0.3">
      <c r="B38" s="13">
        <v>2021</v>
      </c>
      <c r="C38" s="84">
        <v>66</v>
      </c>
      <c r="D38" s="40">
        <v>74</v>
      </c>
      <c r="E38" s="39">
        <v>31</v>
      </c>
      <c r="F38" s="40">
        <v>30</v>
      </c>
      <c r="G38" s="39">
        <v>29</v>
      </c>
      <c r="H38" s="40">
        <v>22</v>
      </c>
      <c r="I38" s="39">
        <v>18</v>
      </c>
      <c r="J38" s="40">
        <v>20</v>
      </c>
    </row>
    <row r="39" spans="2:10" x14ac:dyDescent="0.3">
      <c r="B39" s="13">
        <v>2022</v>
      </c>
      <c r="C39" s="84">
        <v>85</v>
      </c>
      <c r="D39" s="40">
        <v>51</v>
      </c>
      <c r="E39" s="39">
        <v>38</v>
      </c>
      <c r="F39" s="40">
        <v>31</v>
      </c>
      <c r="G39" s="39">
        <v>25</v>
      </c>
      <c r="H39" s="40">
        <v>15</v>
      </c>
      <c r="I39" s="39">
        <v>24</v>
      </c>
      <c r="J39" s="40">
        <v>22</v>
      </c>
    </row>
    <row r="40" spans="2:10" ht="14.4" customHeight="1" x14ac:dyDescent="0.3">
      <c r="B40" s="13">
        <v>2023</v>
      </c>
      <c r="C40" s="84">
        <v>69</v>
      </c>
      <c r="D40" s="40">
        <v>63</v>
      </c>
      <c r="E40" s="39">
        <v>32</v>
      </c>
      <c r="F40" s="40">
        <v>39</v>
      </c>
      <c r="G40" s="39">
        <v>17</v>
      </c>
      <c r="H40" s="40">
        <v>23</v>
      </c>
      <c r="I40" s="39">
        <v>14</v>
      </c>
      <c r="J40" s="40">
        <v>20</v>
      </c>
    </row>
    <row r="41" spans="2:10" x14ac:dyDescent="0.3">
      <c r="B41" s="13">
        <v>2024</v>
      </c>
      <c r="C41" s="84">
        <v>78</v>
      </c>
      <c r="D41" s="40">
        <v>64</v>
      </c>
      <c r="E41" s="39">
        <v>24</v>
      </c>
      <c r="F41" s="40">
        <v>25</v>
      </c>
      <c r="G41" s="39">
        <v>18</v>
      </c>
      <c r="H41" s="40">
        <v>15</v>
      </c>
      <c r="I41" s="39">
        <v>27</v>
      </c>
      <c r="J41" s="40">
        <v>9</v>
      </c>
    </row>
    <row r="42" spans="2:10" x14ac:dyDescent="0.3">
      <c r="B42" s="98" t="s">
        <v>24</v>
      </c>
      <c r="C42" s="98"/>
      <c r="D42" s="98"/>
      <c r="E42" s="98"/>
      <c r="F42" s="98"/>
      <c r="G42" s="98"/>
      <c r="H42" s="98"/>
      <c r="I42" s="98"/>
      <c r="J42" s="98"/>
    </row>
    <row r="43" spans="2:10" x14ac:dyDescent="0.3">
      <c r="B43"/>
      <c r="C43"/>
      <c r="D43"/>
      <c r="E43"/>
      <c r="F43"/>
      <c r="G43"/>
      <c r="H43"/>
      <c r="I43"/>
      <c r="J43"/>
    </row>
    <row r="44" spans="2:10" ht="15.6" x14ac:dyDescent="0.3">
      <c r="B44" s="85" t="s">
        <v>25</v>
      </c>
      <c r="C44" s="86"/>
      <c r="D44" s="86"/>
      <c r="E44" s="86"/>
      <c r="F44" s="86"/>
      <c r="G44" s="86"/>
      <c r="H44" s="86"/>
      <c r="I44" s="86"/>
      <c r="J44" s="86"/>
    </row>
    <row r="45" spans="2:10" ht="15.6" x14ac:dyDescent="0.3">
      <c r="B45" s="87" t="s">
        <v>26</v>
      </c>
      <c r="C45" s="88"/>
      <c r="D45" s="88"/>
      <c r="E45" s="88"/>
      <c r="F45" s="88"/>
      <c r="G45" s="88"/>
      <c r="H45" s="88"/>
      <c r="I45" s="88"/>
      <c r="J45" s="88"/>
    </row>
    <row r="46" spans="2:10" x14ac:dyDescent="0.3">
      <c r="B46" s="11"/>
      <c r="C46" s="8"/>
      <c r="D46" s="8"/>
      <c r="E46" s="8"/>
      <c r="F46" s="8"/>
      <c r="G46" s="8"/>
      <c r="H46" s="8"/>
      <c r="I46" s="8"/>
      <c r="J46" s="8"/>
    </row>
    <row r="47" spans="2:10" x14ac:dyDescent="0.3">
      <c r="B47" s="11"/>
      <c r="C47" s="8"/>
      <c r="D47" s="8"/>
      <c r="E47" s="8"/>
      <c r="F47" s="8"/>
      <c r="G47" s="8"/>
      <c r="H47" s="8"/>
      <c r="I47" s="8"/>
      <c r="J47" s="8"/>
    </row>
    <row r="48" spans="2:10" x14ac:dyDescent="0.3">
      <c r="B48" s="11"/>
      <c r="C48" s="8"/>
      <c r="D48" s="8"/>
      <c r="E48" s="8"/>
      <c r="F48" s="8"/>
      <c r="G48" s="8"/>
      <c r="H48" s="8"/>
      <c r="I48" s="8"/>
      <c r="J48" s="8"/>
    </row>
    <row r="49" spans="2:10" x14ac:dyDescent="0.3">
      <c r="B49" s="11"/>
      <c r="C49" s="8"/>
      <c r="D49" s="8"/>
      <c r="E49" s="8"/>
      <c r="F49" s="8"/>
      <c r="G49" s="8"/>
      <c r="H49" s="8"/>
      <c r="I49" s="8"/>
      <c r="J49" s="8"/>
    </row>
    <row r="52" spans="2:10" x14ac:dyDescent="0.3">
      <c r="B52" s="11"/>
      <c r="C52" s="10"/>
      <c r="D52" s="10"/>
      <c r="E52" s="10"/>
      <c r="F52" s="10"/>
      <c r="G52" s="10"/>
      <c r="H52" s="10"/>
      <c r="I52" s="10"/>
      <c r="J52" s="10"/>
    </row>
    <row r="53" spans="2:10" x14ac:dyDescent="0.3">
      <c r="B53" s="11"/>
      <c r="C53" s="10"/>
      <c r="D53" s="10"/>
      <c r="E53" s="10"/>
      <c r="F53" s="10"/>
      <c r="G53" s="10"/>
      <c r="H53" s="10"/>
      <c r="I53" s="10"/>
      <c r="J53" s="10"/>
    </row>
    <row r="54" spans="2:10" x14ac:dyDescent="0.3">
      <c r="B54" s="11"/>
      <c r="C54" s="10"/>
      <c r="D54" s="10"/>
      <c r="E54" s="10"/>
      <c r="F54" s="10"/>
      <c r="G54" s="10"/>
      <c r="H54" s="10"/>
      <c r="I54" s="10"/>
      <c r="J54" s="10"/>
    </row>
    <row r="55" spans="2:10" x14ac:dyDescent="0.3">
      <c r="B55" s="11"/>
      <c r="C55" s="10"/>
      <c r="D55" s="10"/>
      <c r="E55" s="10"/>
      <c r="F55" s="10"/>
      <c r="G55" s="10"/>
      <c r="H55" s="10"/>
      <c r="I55" s="10"/>
      <c r="J55" s="10"/>
    </row>
    <row r="56" spans="2:10" x14ac:dyDescent="0.3">
      <c r="B56" s="11"/>
      <c r="C56" s="10"/>
      <c r="D56" s="10"/>
      <c r="E56" s="10"/>
      <c r="F56" s="10"/>
      <c r="G56" s="10"/>
      <c r="H56" s="10"/>
      <c r="I56" s="10"/>
      <c r="J56" s="10"/>
    </row>
    <row r="57" spans="2:10" x14ac:dyDescent="0.3">
      <c r="B57" s="11"/>
      <c r="C57" s="10"/>
      <c r="D57" s="10"/>
      <c r="E57" s="10"/>
      <c r="F57" s="10"/>
      <c r="G57" s="10"/>
      <c r="H57" s="10"/>
      <c r="I57" s="10"/>
      <c r="J57" s="10"/>
    </row>
    <row r="58" spans="2:10" x14ac:dyDescent="0.3">
      <c r="B58" s="11"/>
      <c r="C58" s="10"/>
      <c r="D58" s="10"/>
      <c r="E58" s="10"/>
      <c r="F58" s="10"/>
      <c r="G58" s="10"/>
      <c r="H58" s="10"/>
      <c r="I58" s="10"/>
      <c r="J58" s="10"/>
    </row>
  </sheetData>
  <mergeCells count="13">
    <mergeCell ref="B2:F2"/>
    <mergeCell ref="B3:F3"/>
    <mergeCell ref="B5:B7"/>
    <mergeCell ref="C5:F5"/>
    <mergeCell ref="C6:D6"/>
    <mergeCell ref="E6:F6"/>
    <mergeCell ref="B42:J42"/>
    <mergeCell ref="B27:J27"/>
    <mergeCell ref="B28:J28"/>
    <mergeCell ref="C30:D30"/>
    <mergeCell ref="E30:F30"/>
    <mergeCell ref="G30:H30"/>
    <mergeCell ref="I30:J30"/>
  </mergeCells>
  <pageMargins left="0.7" right="0.7" top="0.75" bottom="0.75" header="0.3" footer="0.3"/>
  <pageSetup orientation="landscape" r:id="rId1"/>
  <headerFooter>
    <oddHeader>&amp;CPráctica Mortalidad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76A8-3B8B-48AA-BAB6-A5B89026AD77}">
  <dimension ref="B2:AP67"/>
  <sheetViews>
    <sheetView showGridLines="0" topLeftCell="AC14" zoomScale="101" zoomScaleNormal="100" workbookViewId="0">
      <selection activeCell="N25" sqref="N25"/>
    </sheetView>
  </sheetViews>
  <sheetFormatPr baseColWidth="10" defaultColWidth="8.88671875" defaultRowHeight="11.4" x14ac:dyDescent="0.2"/>
  <cols>
    <col min="1" max="1" width="2.88671875" style="18" customWidth="1"/>
    <col min="2" max="2" width="5.6640625" style="18" customWidth="1"/>
    <col min="3" max="3" width="2" style="18" customWidth="1"/>
    <col min="4" max="4" width="4.6640625" style="18" customWidth="1"/>
    <col min="5" max="5" width="1.6640625" style="18" customWidth="1"/>
    <col min="6" max="6" width="10.33203125" style="18" customWidth="1"/>
    <col min="7" max="7" width="2.44140625" style="18" customWidth="1"/>
    <col min="8" max="8" width="10.33203125" style="18" customWidth="1"/>
    <col min="9" max="9" width="2.44140625" style="18" customWidth="1"/>
    <col min="10" max="10" width="10.33203125" style="18" customWidth="1"/>
    <col min="11" max="11" width="2.44140625" style="18" customWidth="1"/>
    <col min="12" max="12" width="10.33203125" style="18" customWidth="1"/>
    <col min="13" max="13" width="2.44140625" style="18" customWidth="1"/>
    <col min="14" max="14" width="10.33203125" style="18" customWidth="1"/>
    <col min="15" max="15" width="2.44140625" style="18" customWidth="1"/>
    <col min="16" max="16" width="10.33203125" style="18" customWidth="1"/>
    <col min="17" max="17" width="2.44140625" style="18" customWidth="1"/>
    <col min="18" max="18" width="10.33203125" style="18" customWidth="1"/>
    <col min="19" max="19" width="2.44140625" style="18" customWidth="1"/>
    <col min="20" max="20" width="10.33203125" style="18" customWidth="1"/>
    <col min="21" max="21" width="2.44140625" style="18" customWidth="1"/>
    <col min="22" max="22" width="4.6640625" style="18" customWidth="1"/>
    <col min="23" max="23" width="5.6640625" style="18" customWidth="1"/>
    <col min="24" max="24" width="2.44140625" style="18" customWidth="1"/>
    <col min="25" max="25" width="4.6640625" style="18" customWidth="1"/>
    <col min="26" max="26" width="3.109375" style="18" customWidth="1"/>
    <col min="27" max="27" width="10.33203125" style="18" customWidth="1"/>
    <col min="28" max="28" width="2.44140625" style="18" customWidth="1"/>
    <col min="29" max="29" width="10.33203125" style="18" customWidth="1"/>
    <col min="30" max="30" width="2.44140625" style="18" customWidth="1"/>
    <col min="31" max="31" width="10.33203125" style="18" customWidth="1"/>
    <col min="32" max="32" width="2.44140625" style="18" customWidth="1"/>
    <col min="33" max="33" width="10.33203125" style="18" customWidth="1"/>
    <col min="34" max="34" width="2.44140625" style="18" customWidth="1"/>
    <col min="35" max="35" width="10.33203125" style="18" customWidth="1"/>
    <col min="36" max="36" width="2.44140625" style="18" customWidth="1"/>
    <col min="37" max="37" width="10.33203125" style="18" customWidth="1"/>
    <col min="38" max="38" width="2.44140625" style="18" customWidth="1"/>
    <col min="39" max="39" width="10.33203125" style="18" customWidth="1"/>
    <col min="40" max="40" width="2.44140625" style="18" customWidth="1"/>
    <col min="41" max="41" width="10.33203125" style="18" customWidth="1"/>
    <col min="42" max="42" width="2.44140625" style="18" customWidth="1"/>
    <col min="43" max="43" width="7.44140625" style="18" customWidth="1"/>
    <col min="44" max="45" width="7" style="18" customWidth="1"/>
    <col min="46" max="46" width="6.5546875" style="18" customWidth="1"/>
    <col min="47" max="47" width="7.109375" style="18" customWidth="1"/>
    <col min="48" max="49" width="5.88671875" style="18" customWidth="1"/>
    <col min="50" max="16384" width="8.88671875" style="18"/>
  </cols>
  <sheetData>
    <row r="2" spans="2:42" ht="15" customHeight="1" x14ac:dyDescent="0.25">
      <c r="B2" s="67" t="s">
        <v>11</v>
      </c>
      <c r="C2" s="67"/>
      <c r="E2" s="94" t="s">
        <v>27</v>
      </c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33"/>
      <c r="W2" s="67" t="s">
        <v>11</v>
      </c>
      <c r="X2" s="33"/>
      <c r="Z2" s="94" t="s">
        <v>28</v>
      </c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</row>
    <row r="3" spans="2:42" ht="12" x14ac:dyDescent="0.25">
      <c r="D3" s="97" t="s">
        <v>19</v>
      </c>
      <c r="E3" s="34"/>
      <c r="Y3" s="17"/>
      <c r="Z3" s="35"/>
    </row>
    <row r="4" spans="2:42" ht="15" customHeight="1" thickBot="1" x14ac:dyDescent="0.35">
      <c r="D4" s="97"/>
      <c r="E4" s="34">
        <v>5</v>
      </c>
      <c r="F4" s="19"/>
      <c r="G4" s="20"/>
      <c r="H4" s="19"/>
      <c r="I4" s="20"/>
      <c r="J4" s="19"/>
      <c r="K4" s="20"/>
      <c r="L4" s="19"/>
      <c r="M4" s="20"/>
      <c r="N4" s="20"/>
      <c r="O4" s="20"/>
      <c r="P4" s="21">
        <f>O5-P5</f>
        <v>67667.210000000006</v>
      </c>
      <c r="Q4" s="20"/>
      <c r="R4" s="21">
        <f>Q5-R5</f>
        <v>63710.899999999987</v>
      </c>
      <c r="S4" s="20"/>
      <c r="T4" s="21">
        <f>S5-T5</f>
        <v>61745.600000000006</v>
      </c>
      <c r="U4" s="22"/>
      <c r="V4" s="22"/>
      <c r="X4" s="22"/>
      <c r="Y4" s="97" t="s">
        <v>19</v>
      </c>
      <c r="Z4" s="34">
        <v>5</v>
      </c>
      <c r="AA4" s="19"/>
      <c r="AB4" s="20"/>
      <c r="AC4" s="19"/>
      <c r="AD4" s="20"/>
      <c r="AE4" s="19"/>
      <c r="AF4" s="20"/>
      <c r="AG4" s="19"/>
      <c r="AH4" s="20"/>
      <c r="AI4" s="20"/>
      <c r="AJ4" s="20"/>
      <c r="AK4" s="21">
        <f>AJ5-AK5</f>
        <v>66482.42</v>
      </c>
      <c r="AL4" s="20"/>
      <c r="AM4" s="21">
        <f>AL5-AM5</f>
        <v>62041.17</v>
      </c>
      <c r="AN4" s="20"/>
      <c r="AO4" s="21">
        <f>AN5-AO5</f>
        <v>61058.22</v>
      </c>
      <c r="AP4" s="22"/>
    </row>
    <row r="5" spans="2:42" s="23" customFormat="1" ht="15" customHeight="1" x14ac:dyDescent="0.3">
      <c r="B5" s="18">
        <v>0.48</v>
      </c>
      <c r="C5" s="18"/>
      <c r="D5" s="97"/>
      <c r="E5" s="34"/>
      <c r="F5" s="24"/>
      <c r="G5" s="25"/>
      <c r="H5" s="24"/>
      <c r="I5" s="25"/>
      <c r="J5" s="24"/>
      <c r="K5" s="25"/>
      <c r="L5" s="24"/>
      <c r="M5" s="25"/>
      <c r="N5" s="26">
        <f>Datos!I38*B5</f>
        <v>8.64</v>
      </c>
      <c r="O5" s="93">
        <f>N9-N8</f>
        <v>67678.73000000001</v>
      </c>
      <c r="P5" s="26">
        <f>Datos!I39*B5</f>
        <v>11.52</v>
      </c>
      <c r="Q5" s="93">
        <f>P9-P8</f>
        <v>63717.619999999988</v>
      </c>
      <c r="R5" s="26">
        <f>Datos!I40*B5</f>
        <v>6.72</v>
      </c>
      <c r="S5" s="93">
        <f>R9-R8</f>
        <v>61758.560000000005</v>
      </c>
      <c r="T5" s="26">
        <f>Datos!I41*B5</f>
        <v>12.959999999999999</v>
      </c>
      <c r="U5" s="95">
        <f>T9-T8</f>
        <v>51898.11</v>
      </c>
      <c r="V5" s="37"/>
      <c r="W5" s="18">
        <v>0.48</v>
      </c>
      <c r="X5" s="37"/>
      <c r="Y5" s="97"/>
      <c r="Z5" s="34"/>
      <c r="AA5" s="24"/>
      <c r="AB5" s="25"/>
      <c r="AC5" s="24"/>
      <c r="AD5" s="25"/>
      <c r="AE5" s="24"/>
      <c r="AF5" s="25"/>
      <c r="AG5" s="24"/>
      <c r="AH5" s="25"/>
      <c r="AI5" s="26">
        <f>Datos!J38*W10</f>
        <v>9.6</v>
      </c>
      <c r="AJ5" s="93">
        <f>AI9-AI8</f>
        <v>66492.98</v>
      </c>
      <c r="AK5" s="26">
        <f>Datos!J39*W10</f>
        <v>10.559999999999999</v>
      </c>
      <c r="AL5" s="93">
        <f>AK9-AK8</f>
        <v>62050.77</v>
      </c>
      <c r="AM5" s="26">
        <f>Datos!J40*W10</f>
        <v>9.6</v>
      </c>
      <c r="AN5" s="93">
        <f>AM9-AM8</f>
        <v>61062.54</v>
      </c>
      <c r="AO5" s="26">
        <f>Datos!J41*W10</f>
        <v>4.32</v>
      </c>
      <c r="AP5" s="95">
        <f>AO9-AO8</f>
        <v>50618.679999999993</v>
      </c>
    </row>
    <row r="6" spans="2:42" ht="15" customHeight="1" x14ac:dyDescent="0.3">
      <c r="D6" s="97"/>
      <c r="E6" s="34"/>
      <c r="F6" s="19"/>
      <c r="G6" s="20"/>
      <c r="H6" s="19"/>
      <c r="I6" s="20"/>
      <c r="J6" s="19"/>
      <c r="K6" s="20"/>
      <c r="L6" s="19"/>
      <c r="M6" s="20"/>
      <c r="N6" s="27"/>
      <c r="O6" s="93"/>
      <c r="P6" s="27"/>
      <c r="Q6" s="93"/>
      <c r="R6" s="27"/>
      <c r="S6" s="93"/>
      <c r="T6" s="27"/>
      <c r="U6" s="95"/>
      <c r="V6" s="37"/>
      <c r="X6" s="37"/>
      <c r="Y6" s="97"/>
      <c r="Z6" s="34"/>
      <c r="AA6" s="19"/>
      <c r="AB6" s="20"/>
      <c r="AC6" s="19"/>
      <c r="AD6" s="20"/>
      <c r="AE6" s="19"/>
      <c r="AF6" s="20"/>
      <c r="AG6" s="19"/>
      <c r="AH6" s="20"/>
      <c r="AI6" s="27"/>
      <c r="AJ6" s="93"/>
      <c r="AK6" s="27"/>
      <c r="AL6" s="93"/>
      <c r="AM6" s="27"/>
      <c r="AN6" s="93"/>
      <c r="AO6" s="27"/>
      <c r="AP6" s="95"/>
    </row>
    <row r="7" spans="2:42" ht="15" customHeight="1" x14ac:dyDescent="0.3">
      <c r="D7" s="97"/>
      <c r="E7" s="34"/>
      <c r="F7" s="19"/>
      <c r="G7" s="20"/>
      <c r="H7" s="19"/>
      <c r="I7" s="20"/>
      <c r="J7" s="19"/>
      <c r="K7" s="20"/>
      <c r="L7" s="19"/>
      <c r="M7" s="20"/>
      <c r="N7" s="27"/>
      <c r="O7" s="93"/>
      <c r="P7" s="27"/>
      <c r="Q7" s="93"/>
      <c r="R7" s="27"/>
      <c r="S7" s="93"/>
      <c r="T7" s="27"/>
      <c r="U7" s="95"/>
      <c r="V7" s="37"/>
      <c r="X7" s="37"/>
      <c r="Y7" s="97"/>
      <c r="Z7" s="34"/>
      <c r="AA7" s="19"/>
      <c r="AB7" s="20"/>
      <c r="AC7" s="19"/>
      <c r="AD7" s="20"/>
      <c r="AE7" s="19"/>
      <c r="AF7" s="20"/>
      <c r="AG7" s="19"/>
      <c r="AH7" s="20"/>
      <c r="AI7" s="27"/>
      <c r="AJ7" s="93"/>
      <c r="AK7" s="27"/>
      <c r="AL7" s="93"/>
      <c r="AM7" s="27"/>
      <c r="AN7" s="93"/>
      <c r="AO7" s="27"/>
      <c r="AP7" s="95"/>
    </row>
    <row r="8" spans="2:42" ht="15" customHeight="1" thickBot="1" x14ac:dyDescent="0.35">
      <c r="D8" s="97"/>
      <c r="E8" s="34"/>
      <c r="F8" s="19"/>
      <c r="G8" s="20"/>
      <c r="H8" s="19"/>
      <c r="I8" s="20"/>
      <c r="J8" s="19"/>
      <c r="K8" s="20"/>
      <c r="L8" s="19"/>
      <c r="M8" s="20"/>
      <c r="N8" s="28">
        <f>Datos!I38*(1-B5)</f>
        <v>9.36</v>
      </c>
      <c r="O8" s="93"/>
      <c r="P8" s="28">
        <f>Datos!I39*(1-B5)</f>
        <v>12.48</v>
      </c>
      <c r="Q8" s="93"/>
      <c r="R8" s="28">
        <f>Datos!I40*(1-B5)</f>
        <v>7.28</v>
      </c>
      <c r="S8" s="93"/>
      <c r="T8" s="28">
        <f>Datos!I41*(1-B5)</f>
        <v>14.040000000000001</v>
      </c>
      <c r="U8" s="95"/>
      <c r="V8" s="37"/>
      <c r="X8" s="37"/>
      <c r="Y8" s="97"/>
      <c r="Z8" s="34"/>
      <c r="AA8" s="19"/>
      <c r="AB8" s="20"/>
      <c r="AC8" s="19"/>
      <c r="AD8" s="20"/>
      <c r="AE8" s="19"/>
      <c r="AF8" s="20"/>
      <c r="AG8" s="19"/>
      <c r="AH8" s="20"/>
      <c r="AI8" s="28">
        <f>Datos!J38*(1-W10)</f>
        <v>10.4</v>
      </c>
      <c r="AJ8" s="93"/>
      <c r="AK8" s="28">
        <f>Datos!J39*(1-W10)</f>
        <v>11.440000000000001</v>
      </c>
      <c r="AL8" s="93"/>
      <c r="AM8" s="28">
        <f>Datos!J40*(1-W10)</f>
        <v>10.4</v>
      </c>
      <c r="AN8" s="93"/>
      <c r="AO8" s="28">
        <f>Datos!J41*(1-W10)</f>
        <v>4.68</v>
      </c>
      <c r="AP8" s="95"/>
    </row>
    <row r="9" spans="2:42" ht="15" customHeight="1" thickBot="1" x14ac:dyDescent="0.35">
      <c r="D9" s="97"/>
      <c r="E9" s="34">
        <v>4</v>
      </c>
      <c r="F9" s="19"/>
      <c r="G9" s="20"/>
      <c r="H9" s="19"/>
      <c r="I9" s="20"/>
      <c r="J9" s="19"/>
      <c r="K9" s="20"/>
      <c r="L9" s="19"/>
      <c r="M9" s="20"/>
      <c r="N9" s="21">
        <f>M10-N10</f>
        <v>67688.090000000011</v>
      </c>
      <c r="O9" s="20"/>
      <c r="P9" s="21">
        <f>O10-P10</f>
        <v>63730.099999999991</v>
      </c>
      <c r="Q9" s="20"/>
      <c r="R9" s="21">
        <f>Q10-R10</f>
        <v>61765.840000000004</v>
      </c>
      <c r="S9" s="20"/>
      <c r="T9" s="21">
        <f>S10-T10</f>
        <v>51912.15</v>
      </c>
      <c r="U9" s="22"/>
      <c r="V9" s="22"/>
      <c r="X9" s="22"/>
      <c r="Y9" s="97"/>
      <c r="Z9" s="34">
        <v>4</v>
      </c>
      <c r="AA9" s="19"/>
      <c r="AB9" s="20"/>
      <c r="AC9" s="19"/>
      <c r="AD9" s="20"/>
      <c r="AE9" s="19"/>
      <c r="AF9" s="20"/>
      <c r="AG9" s="19"/>
      <c r="AH9" s="20"/>
      <c r="AI9" s="21">
        <f>AH10-AI10</f>
        <v>66503.37999999999</v>
      </c>
      <c r="AJ9" s="20"/>
      <c r="AK9" s="21">
        <f>AJ10-AK10</f>
        <v>62062.21</v>
      </c>
      <c r="AL9" s="20"/>
      <c r="AM9" s="21">
        <f>AL10-AM10</f>
        <v>61072.94</v>
      </c>
      <c r="AN9" s="20"/>
      <c r="AO9" s="21">
        <f>AN10-AO10</f>
        <v>50623.359999999993</v>
      </c>
      <c r="AP9" s="22"/>
    </row>
    <row r="10" spans="2:42" s="23" customFormat="1" ht="15" customHeight="1" x14ac:dyDescent="0.3">
      <c r="B10" s="18">
        <v>0.48</v>
      </c>
      <c r="C10" s="18"/>
      <c r="D10" s="97"/>
      <c r="E10" s="34"/>
      <c r="F10" s="24"/>
      <c r="G10" s="25"/>
      <c r="H10" s="24"/>
      <c r="I10" s="25"/>
      <c r="J10" s="24"/>
      <c r="K10" s="25"/>
      <c r="L10" s="26">
        <f>Datos!G37*B10</f>
        <v>11.52</v>
      </c>
      <c r="M10" s="93">
        <f>L14-L13</f>
        <v>67702.010000000009</v>
      </c>
      <c r="N10" s="26">
        <f>Datos!G38*B10</f>
        <v>13.92</v>
      </c>
      <c r="O10" s="93">
        <f>N14-N13</f>
        <v>63742.099999999991</v>
      </c>
      <c r="P10" s="26">
        <f>Datos!G39*B10</f>
        <v>12</v>
      </c>
      <c r="Q10" s="93">
        <f>P14-P13</f>
        <v>61774.000000000007</v>
      </c>
      <c r="R10" s="26">
        <f>Datos!G40*B10</f>
        <v>8.16</v>
      </c>
      <c r="S10" s="93">
        <f>R14-R13</f>
        <v>51920.79</v>
      </c>
      <c r="T10" s="26">
        <f>Datos!G41*B10</f>
        <v>8.64</v>
      </c>
      <c r="U10" s="95">
        <f>T14-T13</f>
        <v>57021.36</v>
      </c>
      <c r="V10" s="37"/>
      <c r="W10" s="18">
        <v>0.48</v>
      </c>
      <c r="X10" s="37"/>
      <c r="Y10" s="97"/>
      <c r="Z10" s="34"/>
      <c r="AA10" s="24"/>
      <c r="AB10" s="25"/>
      <c r="AC10" s="24"/>
      <c r="AD10" s="25"/>
      <c r="AE10" s="24"/>
      <c r="AF10" s="25"/>
      <c r="AG10" s="26">
        <f>Datos!H37*W10</f>
        <v>8.64</v>
      </c>
      <c r="AH10" s="93">
        <f>AG14-AG13</f>
        <v>66513.939999999988</v>
      </c>
      <c r="AI10" s="26">
        <f>Datos!H38*W10</f>
        <v>10.559999999999999</v>
      </c>
      <c r="AJ10" s="93">
        <f>AI14-AI13</f>
        <v>62069.409999999996</v>
      </c>
      <c r="AK10" s="26">
        <f>Datos!H39*W10</f>
        <v>7.1999999999999993</v>
      </c>
      <c r="AL10" s="93">
        <f>AK14-AK13</f>
        <v>61083.98</v>
      </c>
      <c r="AM10" s="26">
        <f>Datos!H40*W10</f>
        <v>11.04</v>
      </c>
      <c r="AN10" s="93">
        <f>AM14-AM13</f>
        <v>50630.55999999999</v>
      </c>
      <c r="AO10" s="26">
        <f>Datos!H41*W10</f>
        <v>7.1999999999999993</v>
      </c>
      <c r="AP10" s="95">
        <f>AO14-AO13</f>
        <v>56283.360000000001</v>
      </c>
    </row>
    <row r="11" spans="2:42" ht="15" customHeight="1" x14ac:dyDescent="0.3">
      <c r="D11" s="97"/>
      <c r="E11" s="34"/>
      <c r="F11" s="19"/>
      <c r="G11" s="20"/>
      <c r="H11" s="19"/>
      <c r="I11" s="20"/>
      <c r="J11" s="19"/>
      <c r="K11" s="20"/>
      <c r="L11" s="27"/>
      <c r="M11" s="93"/>
      <c r="N11" s="27"/>
      <c r="O11" s="93"/>
      <c r="P11" s="27"/>
      <c r="Q11" s="93"/>
      <c r="R11" s="27"/>
      <c r="S11" s="93"/>
      <c r="T11" s="27"/>
      <c r="U11" s="95"/>
      <c r="V11" s="37"/>
      <c r="X11" s="37"/>
      <c r="Y11" s="97"/>
      <c r="Z11" s="34"/>
      <c r="AA11" s="19"/>
      <c r="AB11" s="20"/>
      <c r="AC11" s="19"/>
      <c r="AD11" s="20"/>
      <c r="AE11" s="19"/>
      <c r="AF11" s="20"/>
      <c r="AG11" s="27"/>
      <c r="AH11" s="93"/>
      <c r="AI11" s="27"/>
      <c r="AJ11" s="93"/>
      <c r="AK11" s="27"/>
      <c r="AL11" s="93"/>
      <c r="AM11" s="27"/>
      <c r="AN11" s="93"/>
      <c r="AO11" s="27"/>
      <c r="AP11" s="95"/>
    </row>
    <row r="12" spans="2:42" ht="15" customHeight="1" x14ac:dyDescent="0.3">
      <c r="D12" s="97"/>
      <c r="E12" s="34"/>
      <c r="F12" s="19"/>
      <c r="G12" s="20"/>
      <c r="H12" s="19"/>
      <c r="I12" s="20"/>
      <c r="J12" s="19"/>
      <c r="K12" s="20"/>
      <c r="L12" s="27"/>
      <c r="M12" s="93"/>
      <c r="N12" s="27"/>
      <c r="O12" s="93"/>
      <c r="P12" s="27"/>
      <c r="Q12" s="93"/>
      <c r="R12" s="27"/>
      <c r="S12" s="93"/>
      <c r="T12" s="27"/>
      <c r="U12" s="95"/>
      <c r="V12" s="37"/>
      <c r="X12" s="37"/>
      <c r="Y12" s="97"/>
      <c r="Z12" s="34"/>
      <c r="AA12" s="19"/>
      <c r="AB12" s="20"/>
      <c r="AC12" s="19"/>
      <c r="AD12" s="20"/>
      <c r="AE12" s="19"/>
      <c r="AF12" s="20"/>
      <c r="AG12" s="27"/>
      <c r="AH12" s="93"/>
      <c r="AI12" s="27"/>
      <c r="AJ12" s="93"/>
      <c r="AK12" s="27"/>
      <c r="AL12" s="93"/>
      <c r="AM12" s="27"/>
      <c r="AN12" s="93"/>
      <c r="AO12" s="27"/>
      <c r="AP12" s="95"/>
    </row>
    <row r="13" spans="2:42" ht="15" customHeight="1" thickBot="1" x14ac:dyDescent="0.35">
      <c r="D13" s="97"/>
      <c r="E13" s="34"/>
      <c r="F13" s="19"/>
      <c r="G13" s="20"/>
      <c r="H13" s="19"/>
      <c r="I13" s="20"/>
      <c r="J13" s="19"/>
      <c r="K13" s="20"/>
      <c r="L13" s="28">
        <f>Datos!G37*(1-B10)</f>
        <v>12.48</v>
      </c>
      <c r="M13" s="93"/>
      <c r="N13" s="28">
        <f>Datos!G38*(1-B10)</f>
        <v>15.08</v>
      </c>
      <c r="O13" s="93"/>
      <c r="P13" s="28">
        <f>Datos!G39*(1-B10)</f>
        <v>13</v>
      </c>
      <c r="Q13" s="93"/>
      <c r="R13" s="28">
        <f>Datos!G40*(1-B10)</f>
        <v>8.84</v>
      </c>
      <c r="S13" s="93"/>
      <c r="T13" s="28">
        <f>Datos!G41*(1-B10)</f>
        <v>9.36</v>
      </c>
      <c r="U13" s="95"/>
      <c r="V13" s="37"/>
      <c r="X13" s="37"/>
      <c r="Y13" s="97"/>
      <c r="Z13" s="34"/>
      <c r="AA13" s="19"/>
      <c r="AB13" s="20"/>
      <c r="AC13" s="19"/>
      <c r="AD13" s="20"/>
      <c r="AE13" s="19"/>
      <c r="AF13" s="20"/>
      <c r="AG13" s="28">
        <f>Datos!H37*(1-W10)</f>
        <v>9.36</v>
      </c>
      <c r="AH13" s="93"/>
      <c r="AI13" s="28">
        <f>Datos!H38*(1-W10)</f>
        <v>11.440000000000001</v>
      </c>
      <c r="AJ13" s="93"/>
      <c r="AK13" s="28">
        <f>Datos!H39*(1-W10)</f>
        <v>7.8000000000000007</v>
      </c>
      <c r="AL13" s="93"/>
      <c r="AM13" s="28">
        <f>Datos!H40*(1-W10)</f>
        <v>11.96</v>
      </c>
      <c r="AN13" s="93"/>
      <c r="AO13" s="28">
        <f>Datos!H41*(1-W10)</f>
        <v>7.8000000000000007</v>
      </c>
      <c r="AP13" s="95"/>
    </row>
    <row r="14" spans="2:42" ht="15" customHeight="1" thickBot="1" x14ac:dyDescent="0.35">
      <c r="D14" s="97"/>
      <c r="E14" s="34">
        <v>3</v>
      </c>
      <c r="F14" s="19"/>
      <c r="G14" s="20"/>
      <c r="H14" s="19"/>
      <c r="I14" s="20"/>
      <c r="J14" s="19"/>
      <c r="K14" s="20"/>
      <c r="L14" s="21">
        <f>K15-L15</f>
        <v>67714.490000000005</v>
      </c>
      <c r="M14" s="20"/>
      <c r="N14" s="21">
        <f>M15-N15</f>
        <v>63757.179999999993</v>
      </c>
      <c r="O14" s="20"/>
      <c r="P14" s="21">
        <f>O15-P15</f>
        <v>61787.000000000007</v>
      </c>
      <c r="Q14" s="20"/>
      <c r="R14" s="21">
        <f>Q15-R15</f>
        <v>51929.63</v>
      </c>
      <c r="S14" s="20"/>
      <c r="T14" s="21">
        <f>S15-T15</f>
        <v>57030.720000000001</v>
      </c>
      <c r="U14" s="22"/>
      <c r="V14" s="22"/>
      <c r="X14" s="22"/>
      <c r="Y14" s="97"/>
      <c r="Z14" s="34">
        <v>3</v>
      </c>
      <c r="AA14" s="19"/>
      <c r="AB14" s="20"/>
      <c r="AC14" s="19"/>
      <c r="AD14" s="20"/>
      <c r="AE14" s="19"/>
      <c r="AF14" s="20"/>
      <c r="AG14" s="21">
        <f>AF15-AG15</f>
        <v>66523.299999999988</v>
      </c>
      <c r="AH14" s="20"/>
      <c r="AI14" s="21">
        <f>AH15-AI15</f>
        <v>62080.85</v>
      </c>
      <c r="AJ14" s="20"/>
      <c r="AK14" s="21">
        <f>AJ15-AK15</f>
        <v>61091.780000000006</v>
      </c>
      <c r="AL14" s="20"/>
      <c r="AM14" s="21">
        <f>AL15-AM15</f>
        <v>50642.51999999999</v>
      </c>
      <c r="AN14" s="20"/>
      <c r="AO14" s="21">
        <f>AN15-AO15</f>
        <v>56291.16</v>
      </c>
      <c r="AP14" s="22"/>
    </row>
    <row r="15" spans="2:42" ht="15" customHeight="1" x14ac:dyDescent="0.3">
      <c r="B15" s="18">
        <v>0.47</v>
      </c>
      <c r="D15" s="97"/>
      <c r="E15" s="34"/>
      <c r="F15" s="19"/>
      <c r="G15" s="20"/>
      <c r="H15" s="19"/>
      <c r="I15" s="20"/>
      <c r="J15" s="26">
        <f>Datos!E36*B15</f>
        <v>16.919999999999998</v>
      </c>
      <c r="K15" s="93">
        <f>J19-J18</f>
        <v>67726.240000000005</v>
      </c>
      <c r="L15" s="26">
        <f>Datos!E37*B15</f>
        <v>11.75</v>
      </c>
      <c r="M15" s="93">
        <f>L19-L18</f>
        <v>63771.749999999993</v>
      </c>
      <c r="N15" s="26">
        <f>Datos!E38*B15</f>
        <v>14.569999999999999</v>
      </c>
      <c r="O15" s="93">
        <f>N19-N18</f>
        <v>61804.860000000008</v>
      </c>
      <c r="P15" s="26">
        <f>Datos!E39*B15</f>
        <v>17.86</v>
      </c>
      <c r="Q15" s="93">
        <f>P19-P18</f>
        <v>51944.67</v>
      </c>
      <c r="R15" s="26">
        <f>Datos!E40*B15</f>
        <v>15.04</v>
      </c>
      <c r="S15" s="93">
        <f>R19-R18</f>
        <v>57042</v>
      </c>
      <c r="T15" s="26">
        <f>Datos!E41*B15</f>
        <v>11.28</v>
      </c>
      <c r="U15" s="95">
        <f>T19-T18</f>
        <v>56321.789999999994</v>
      </c>
      <c r="V15" s="37"/>
      <c r="W15" s="18">
        <v>0.47</v>
      </c>
      <c r="X15" s="37"/>
      <c r="Y15" s="97"/>
      <c r="Z15" s="34"/>
      <c r="AA15" s="19"/>
      <c r="AB15" s="20"/>
      <c r="AC15" s="19"/>
      <c r="AD15" s="20"/>
      <c r="AE15" s="26">
        <f>Datos!F36*W15</f>
        <v>16.919999999999998</v>
      </c>
      <c r="AF15" s="93">
        <f>AE19-AE18</f>
        <v>66537.87</v>
      </c>
      <c r="AG15" s="26">
        <f>Datos!F37*W15</f>
        <v>14.569999999999999</v>
      </c>
      <c r="AH15" s="93">
        <f>AG19-AG18</f>
        <v>62094.95</v>
      </c>
      <c r="AI15" s="26">
        <f>Datos!F38*W15</f>
        <v>14.1</v>
      </c>
      <c r="AJ15" s="93">
        <f>AI19-AI18</f>
        <v>61106.350000000006</v>
      </c>
      <c r="AK15" s="26">
        <f>Datos!F39*W15</f>
        <v>14.569999999999999</v>
      </c>
      <c r="AL15" s="93">
        <f>AK19-AK18</f>
        <v>50660.849999999991</v>
      </c>
      <c r="AM15" s="26">
        <f>Datos!F40*W15</f>
        <v>18.329999999999998</v>
      </c>
      <c r="AN15" s="93">
        <f>AM19-AM18</f>
        <v>56302.91</v>
      </c>
      <c r="AO15" s="26">
        <f>Datos!F41*W15</f>
        <v>11.75</v>
      </c>
      <c r="AP15" s="95">
        <f>AO19-AO18</f>
        <v>54488.54</v>
      </c>
    </row>
    <row r="16" spans="2:42" ht="15" customHeight="1" x14ac:dyDescent="0.3">
      <c r="D16" s="97"/>
      <c r="E16" s="34"/>
      <c r="F16" s="19"/>
      <c r="G16" s="20"/>
      <c r="H16" s="19"/>
      <c r="I16" s="20"/>
      <c r="J16" s="29"/>
      <c r="K16" s="93"/>
      <c r="L16" s="29"/>
      <c r="M16" s="93"/>
      <c r="N16" s="27"/>
      <c r="O16" s="93"/>
      <c r="P16" s="27"/>
      <c r="Q16" s="93"/>
      <c r="R16" s="27"/>
      <c r="S16" s="93"/>
      <c r="T16" s="27"/>
      <c r="U16" s="95"/>
      <c r="V16" s="37"/>
      <c r="X16" s="37"/>
      <c r="Y16" s="97"/>
      <c r="Z16" s="34"/>
      <c r="AA16" s="20"/>
      <c r="AB16" s="20"/>
      <c r="AC16" s="19"/>
      <c r="AD16" s="20"/>
      <c r="AE16" s="27"/>
      <c r="AF16" s="93"/>
      <c r="AG16" s="29"/>
      <c r="AH16" s="93"/>
      <c r="AI16" s="27"/>
      <c r="AJ16" s="93"/>
      <c r="AK16" s="27"/>
      <c r="AL16" s="93"/>
      <c r="AM16" s="27"/>
      <c r="AN16" s="93"/>
      <c r="AO16" s="27"/>
      <c r="AP16" s="95"/>
    </row>
    <row r="17" spans="2:42" ht="15" customHeight="1" x14ac:dyDescent="0.3">
      <c r="D17" s="97"/>
      <c r="E17" s="34"/>
      <c r="F17" s="19"/>
      <c r="G17" s="20"/>
      <c r="H17" s="19"/>
      <c r="I17" s="20"/>
      <c r="J17" s="27"/>
      <c r="K17" s="93"/>
      <c r="L17" s="27"/>
      <c r="M17" s="93"/>
      <c r="N17" s="27"/>
      <c r="O17" s="93"/>
      <c r="P17" s="27"/>
      <c r="Q17" s="93"/>
      <c r="R17" s="27"/>
      <c r="S17" s="93"/>
      <c r="T17" s="27"/>
      <c r="U17" s="95"/>
      <c r="V17" s="37"/>
      <c r="X17" s="37"/>
      <c r="Y17" s="97"/>
      <c r="Z17" s="34"/>
      <c r="AA17" s="20"/>
      <c r="AB17" s="20"/>
      <c r="AC17" s="19"/>
      <c r="AD17" s="20"/>
      <c r="AE17" s="27"/>
      <c r="AF17" s="93"/>
      <c r="AG17" s="27"/>
      <c r="AH17" s="93"/>
      <c r="AI17" s="27"/>
      <c r="AJ17" s="93"/>
      <c r="AK17" s="27"/>
      <c r="AL17" s="93"/>
      <c r="AM17" s="27"/>
      <c r="AN17" s="93"/>
      <c r="AO17" s="27"/>
      <c r="AP17" s="95"/>
    </row>
    <row r="18" spans="2:42" ht="15" customHeight="1" thickBot="1" x14ac:dyDescent="0.35">
      <c r="D18" s="97"/>
      <c r="E18" s="34"/>
      <c r="F18" s="19"/>
      <c r="G18" s="20"/>
      <c r="H18" s="19"/>
      <c r="I18" s="20"/>
      <c r="J18" s="28">
        <f>Datos!E36*(1-B15)</f>
        <v>19.080000000000002</v>
      </c>
      <c r="K18" s="93"/>
      <c r="L18" s="28">
        <f>Datos!E37*(1-B15)</f>
        <v>13.25</v>
      </c>
      <c r="M18" s="93"/>
      <c r="N18" s="28">
        <f>Datos!E38*(1-B15)</f>
        <v>16.43</v>
      </c>
      <c r="O18" s="93"/>
      <c r="P18" s="28">
        <f>Datos!E39*(1-B15)</f>
        <v>20.14</v>
      </c>
      <c r="Q18" s="93"/>
      <c r="R18" s="28">
        <f>Datos!E40*(1-B15)</f>
        <v>16.96</v>
      </c>
      <c r="S18" s="93"/>
      <c r="T18" s="28">
        <f>Datos!E41*(1-B15)</f>
        <v>12.72</v>
      </c>
      <c r="U18" s="95"/>
      <c r="V18" s="37"/>
      <c r="X18" s="37"/>
      <c r="Y18" s="97"/>
      <c r="Z18" s="34"/>
      <c r="AA18" s="20"/>
      <c r="AB18" s="20"/>
      <c r="AC18" s="19"/>
      <c r="AD18" s="20"/>
      <c r="AE18" s="28">
        <f>Datos!F36*(1-W15)</f>
        <v>19.080000000000002</v>
      </c>
      <c r="AF18" s="93"/>
      <c r="AG18" s="28">
        <f>Datos!F37*(1-W15)</f>
        <v>16.43</v>
      </c>
      <c r="AH18" s="93"/>
      <c r="AI18" s="28">
        <f>Datos!F38*(1-W15)</f>
        <v>15.9</v>
      </c>
      <c r="AJ18" s="93"/>
      <c r="AK18" s="28">
        <f>Datos!F39*(1-W15)</f>
        <v>16.43</v>
      </c>
      <c r="AL18" s="93"/>
      <c r="AM18" s="28">
        <f>Datos!F40*(1-W15)</f>
        <v>20.67</v>
      </c>
      <c r="AN18" s="93"/>
      <c r="AO18" s="28">
        <f>Datos!F41*(1-W15)</f>
        <v>13.25</v>
      </c>
      <c r="AP18" s="95"/>
    </row>
    <row r="19" spans="2:42" ht="15" customHeight="1" thickBot="1" x14ac:dyDescent="0.35">
      <c r="D19" s="97"/>
      <c r="E19" s="34">
        <v>2</v>
      </c>
      <c r="F19" s="19"/>
      <c r="G19" s="20"/>
      <c r="H19" s="19"/>
      <c r="I19" s="20"/>
      <c r="J19" s="21">
        <f>I20-J20</f>
        <v>67745.320000000007</v>
      </c>
      <c r="K19" s="20"/>
      <c r="L19" s="21">
        <f>K20-L20</f>
        <v>63784.999999999993</v>
      </c>
      <c r="M19" s="20"/>
      <c r="N19" s="21">
        <f>M20-N20</f>
        <v>61821.290000000008</v>
      </c>
      <c r="O19" s="20"/>
      <c r="P19" s="21">
        <f>O20-P20</f>
        <v>51964.81</v>
      </c>
      <c r="Q19" s="20"/>
      <c r="R19" s="21">
        <f>Q20-R20</f>
        <v>57058.96</v>
      </c>
      <c r="S19" s="20"/>
      <c r="T19" s="21">
        <f>S20-T20</f>
        <v>56334.509999999995</v>
      </c>
      <c r="U19" s="22"/>
      <c r="V19" s="22"/>
      <c r="X19" s="22"/>
      <c r="Y19" s="97"/>
      <c r="Z19" s="34">
        <v>2</v>
      </c>
      <c r="AA19" s="20"/>
      <c r="AB19" s="20"/>
      <c r="AC19" s="19"/>
      <c r="AD19" s="20"/>
      <c r="AE19" s="21">
        <f>AD20-AE20</f>
        <v>66556.95</v>
      </c>
      <c r="AF19" s="20"/>
      <c r="AG19" s="21">
        <f>AF20-AG20</f>
        <v>62111.38</v>
      </c>
      <c r="AH19" s="20"/>
      <c r="AI19" s="21">
        <f>AH20-AI20</f>
        <v>61122.250000000007</v>
      </c>
      <c r="AJ19" s="20"/>
      <c r="AK19" s="21">
        <f>AJ20-AK20</f>
        <v>50677.279999999992</v>
      </c>
      <c r="AL19" s="20"/>
      <c r="AM19" s="21">
        <f>AL20-AM20</f>
        <v>56323.58</v>
      </c>
      <c r="AN19" s="20"/>
      <c r="AO19" s="21">
        <f>AN20-AO20</f>
        <v>54501.79</v>
      </c>
      <c r="AP19" s="22"/>
    </row>
    <row r="20" spans="2:42" ht="15" customHeight="1" x14ac:dyDescent="0.3">
      <c r="B20" s="18">
        <v>0.41</v>
      </c>
      <c r="D20" s="97"/>
      <c r="E20" s="34"/>
      <c r="F20" s="19"/>
      <c r="G20" s="20"/>
      <c r="H20" s="26">
        <f>Datos!C35*B20</f>
        <v>27.47</v>
      </c>
      <c r="I20" s="93">
        <f>H24-H23</f>
        <v>67776.070000000007</v>
      </c>
      <c r="J20" s="26">
        <f>Datos!C36*B20</f>
        <v>30.749999999999996</v>
      </c>
      <c r="K20" s="93">
        <f>J24-J23</f>
        <v>63807.549999999996</v>
      </c>
      <c r="L20" s="26">
        <f>Datos!C37*B20</f>
        <v>22.549999999999997</v>
      </c>
      <c r="M20" s="93">
        <f>L24-L23</f>
        <v>61848.350000000006</v>
      </c>
      <c r="N20" s="26">
        <f>Datos!C38*B20</f>
        <v>27.06</v>
      </c>
      <c r="O20" s="93">
        <f>N24-N23</f>
        <v>51999.659999999996</v>
      </c>
      <c r="P20" s="26">
        <f>Datos!C39*B20</f>
        <v>34.85</v>
      </c>
      <c r="Q20" s="93">
        <f>P24-P23</f>
        <v>57087.25</v>
      </c>
      <c r="R20" s="26">
        <f>Datos!C40*B20</f>
        <v>28.29</v>
      </c>
      <c r="S20" s="93">
        <f>R24-R23</f>
        <v>56366.49</v>
      </c>
      <c r="T20" s="26">
        <f>Datos!C41*B20</f>
        <v>31.979999999999997</v>
      </c>
      <c r="U20" s="95">
        <f>T24-T23</f>
        <v>53080.180000000008</v>
      </c>
      <c r="V20" s="37"/>
      <c r="W20" s="18">
        <v>0.41</v>
      </c>
      <c r="X20" s="37"/>
      <c r="Y20" s="97"/>
      <c r="Z20" s="34"/>
      <c r="AA20" s="19"/>
      <c r="AB20" s="20"/>
      <c r="AC20" s="26">
        <f>Datos!D35*W20</f>
        <v>25.419999999999998</v>
      </c>
      <c r="AD20" s="93">
        <f>AC24-AC23</f>
        <v>66586.47</v>
      </c>
      <c r="AE20" s="26">
        <f>Datos!D36*W20</f>
        <v>29.52</v>
      </c>
      <c r="AF20" s="93">
        <f>AE24-AE23</f>
        <v>62135.57</v>
      </c>
      <c r="AG20" s="26">
        <f>Datos!D37*W20</f>
        <v>24.189999999999998</v>
      </c>
      <c r="AH20" s="93">
        <f>AG24-AG23</f>
        <v>61152.590000000004</v>
      </c>
      <c r="AI20" s="26">
        <f>Datos!D38*W20</f>
        <v>30.34</v>
      </c>
      <c r="AJ20" s="93">
        <f>AI24-AI23</f>
        <v>50698.189999999995</v>
      </c>
      <c r="AK20" s="26">
        <f>Datos!D39*W20</f>
        <v>20.91</v>
      </c>
      <c r="AL20" s="93">
        <f>AK24-AK23</f>
        <v>56349.41</v>
      </c>
      <c r="AM20" s="26">
        <f>Datos!D40*W20</f>
        <v>25.83</v>
      </c>
      <c r="AN20" s="93">
        <f>AM24-AM23</f>
        <v>54528.03</v>
      </c>
      <c r="AO20" s="26">
        <f>Datos!D41*W20</f>
        <v>26.24</v>
      </c>
      <c r="AP20" s="95">
        <f>AO24-AO23</f>
        <v>51862.49</v>
      </c>
    </row>
    <row r="21" spans="2:42" ht="15" customHeight="1" x14ac:dyDescent="0.3">
      <c r="D21" s="97"/>
      <c r="E21" s="34"/>
      <c r="F21" s="19"/>
      <c r="G21" s="20"/>
      <c r="H21" s="27"/>
      <c r="I21" s="93"/>
      <c r="J21" s="27"/>
      <c r="K21" s="93"/>
      <c r="L21" s="27"/>
      <c r="M21" s="93"/>
      <c r="N21" s="27"/>
      <c r="O21" s="93"/>
      <c r="P21" s="27"/>
      <c r="Q21" s="93"/>
      <c r="R21" s="27"/>
      <c r="S21" s="93"/>
      <c r="T21" s="27"/>
      <c r="U21" s="95"/>
      <c r="V21" s="37"/>
      <c r="X21" s="37"/>
      <c r="Y21" s="97"/>
      <c r="Z21" s="34"/>
      <c r="AA21" s="19"/>
      <c r="AB21" s="20"/>
      <c r="AC21" s="27"/>
      <c r="AD21" s="93"/>
      <c r="AE21" s="27"/>
      <c r="AF21" s="93"/>
      <c r="AG21" s="27"/>
      <c r="AH21" s="93"/>
      <c r="AI21" s="27"/>
      <c r="AJ21" s="93"/>
      <c r="AK21" s="27"/>
      <c r="AL21" s="93"/>
      <c r="AM21" s="27"/>
      <c r="AN21" s="93"/>
      <c r="AO21" s="27"/>
      <c r="AP21" s="95"/>
    </row>
    <row r="22" spans="2:42" ht="15" customHeight="1" x14ac:dyDescent="0.3">
      <c r="D22" s="97"/>
      <c r="E22" s="34"/>
      <c r="F22" s="19"/>
      <c r="G22" s="20"/>
      <c r="H22" s="27"/>
      <c r="I22" s="93"/>
      <c r="J22" s="27"/>
      <c r="K22" s="93"/>
      <c r="L22" s="27"/>
      <c r="M22" s="93"/>
      <c r="N22" s="27"/>
      <c r="O22" s="93"/>
      <c r="P22" s="27"/>
      <c r="Q22" s="93"/>
      <c r="R22" s="27"/>
      <c r="S22" s="93"/>
      <c r="T22" s="27"/>
      <c r="U22" s="95"/>
      <c r="V22" s="37"/>
      <c r="X22" s="37"/>
      <c r="Y22" s="97"/>
      <c r="Z22" s="34"/>
      <c r="AA22" s="19"/>
      <c r="AB22" s="20"/>
      <c r="AC22" s="27"/>
      <c r="AD22" s="93"/>
      <c r="AE22" s="27"/>
      <c r="AF22" s="93"/>
      <c r="AG22" s="27"/>
      <c r="AH22" s="93"/>
      <c r="AI22" s="27"/>
      <c r="AJ22" s="93"/>
      <c r="AK22" s="27"/>
      <c r="AL22" s="93"/>
      <c r="AM22" s="27"/>
      <c r="AN22" s="93"/>
      <c r="AO22" s="27"/>
      <c r="AP22" s="95"/>
    </row>
    <row r="23" spans="2:42" ht="15" customHeight="1" thickBot="1" x14ac:dyDescent="0.35">
      <c r="D23" s="97"/>
      <c r="E23" s="34"/>
      <c r="F23" s="19"/>
      <c r="G23" s="20"/>
      <c r="H23" s="28">
        <f>Datos!C35*(1-B20)</f>
        <v>39.530000000000008</v>
      </c>
      <c r="I23" s="93"/>
      <c r="J23" s="28">
        <f>Datos!C36*(1-B20)</f>
        <v>44.250000000000007</v>
      </c>
      <c r="K23" s="93"/>
      <c r="L23" s="28">
        <f>Datos!C37*(1-B20)</f>
        <v>32.450000000000003</v>
      </c>
      <c r="M23" s="93"/>
      <c r="N23" s="28">
        <f>Datos!C38*(1-B20)</f>
        <v>38.940000000000005</v>
      </c>
      <c r="O23" s="93"/>
      <c r="P23" s="28">
        <f>Datos!C39*(1-B20)</f>
        <v>50.150000000000006</v>
      </c>
      <c r="Q23" s="93"/>
      <c r="R23" s="28">
        <f>Datos!C40*(1-B20)</f>
        <v>40.710000000000008</v>
      </c>
      <c r="S23" s="93"/>
      <c r="T23" s="28">
        <f>Datos!C41*(1-B20)</f>
        <v>46.02</v>
      </c>
      <c r="U23" s="95"/>
      <c r="V23" s="37"/>
      <c r="X23" s="37"/>
      <c r="Y23" s="97"/>
      <c r="Z23" s="34"/>
      <c r="AA23" s="19"/>
      <c r="AB23" s="20"/>
      <c r="AC23" s="28">
        <f>Datos!D35*(1-W20)</f>
        <v>36.580000000000005</v>
      </c>
      <c r="AD23" s="93"/>
      <c r="AE23" s="28">
        <f>Datos!D36*(1-W20)</f>
        <v>42.480000000000004</v>
      </c>
      <c r="AF23" s="93"/>
      <c r="AG23" s="28">
        <f>Datos!D37*(1-W20)</f>
        <v>34.81</v>
      </c>
      <c r="AH23" s="93"/>
      <c r="AI23" s="28">
        <f>Datos!D38*(1-W20)</f>
        <v>43.660000000000004</v>
      </c>
      <c r="AJ23" s="93"/>
      <c r="AK23" s="28">
        <f>Datos!D39*(1-W20)</f>
        <v>30.090000000000003</v>
      </c>
      <c r="AL23" s="93"/>
      <c r="AM23" s="28">
        <f>Datos!D40*(1-W20)</f>
        <v>37.17</v>
      </c>
      <c r="AN23" s="93"/>
      <c r="AO23" s="28">
        <f>Datos!D41*(1-W20)</f>
        <v>37.760000000000005</v>
      </c>
      <c r="AP23" s="95"/>
    </row>
    <row r="24" spans="2:42" ht="15" customHeight="1" thickBot="1" x14ac:dyDescent="0.35">
      <c r="D24" s="97"/>
      <c r="E24" s="34">
        <v>1</v>
      </c>
      <c r="F24" s="19"/>
      <c r="G24" s="20"/>
      <c r="H24" s="21">
        <f>G25-H25</f>
        <v>67815.600000000006</v>
      </c>
      <c r="I24" s="20"/>
      <c r="J24" s="21">
        <f>I25-J25</f>
        <v>63851.799999999996</v>
      </c>
      <c r="K24" s="20"/>
      <c r="L24" s="21">
        <f>K25-L25</f>
        <v>61880.800000000003</v>
      </c>
      <c r="M24" s="20"/>
      <c r="N24" s="21">
        <f>M25-N25</f>
        <v>52038.6</v>
      </c>
      <c r="O24" s="20"/>
      <c r="P24" s="21">
        <f>O25-P25</f>
        <v>57137.4</v>
      </c>
      <c r="Q24" s="20"/>
      <c r="R24" s="21">
        <f>Q25-R25</f>
        <v>56407.199999999997</v>
      </c>
      <c r="S24" s="20"/>
      <c r="T24" s="21">
        <f>S25-T25</f>
        <v>53126.200000000004</v>
      </c>
      <c r="U24" s="22"/>
      <c r="V24" s="22"/>
      <c r="X24" s="22"/>
      <c r="Y24" s="97"/>
      <c r="Z24" s="34">
        <v>1</v>
      </c>
      <c r="AA24" s="19"/>
      <c r="AB24" s="20"/>
      <c r="AC24" s="21">
        <f>AB25-AC25</f>
        <v>66623.05</v>
      </c>
      <c r="AD24" s="20"/>
      <c r="AE24" s="21">
        <f>AD25-AE25</f>
        <v>62178.05</v>
      </c>
      <c r="AF24" s="20"/>
      <c r="AG24" s="21">
        <f>AF25-AG25</f>
        <v>61187.4</v>
      </c>
      <c r="AH24" s="20"/>
      <c r="AI24" s="21">
        <f>AH25-AI25</f>
        <v>50741.85</v>
      </c>
      <c r="AJ24" s="20"/>
      <c r="AK24" s="21">
        <f>AJ25-AK25</f>
        <v>56379.5</v>
      </c>
      <c r="AL24" s="20"/>
      <c r="AM24" s="21">
        <f>AL25-AM25</f>
        <v>54565.2</v>
      </c>
      <c r="AN24" s="20"/>
      <c r="AO24" s="21">
        <f>AN25-AO25</f>
        <v>51900.25</v>
      </c>
      <c r="AP24" s="22"/>
    </row>
    <row r="25" spans="2:42" ht="15" customHeight="1" x14ac:dyDescent="0.25">
      <c r="B25" s="18">
        <v>0.2</v>
      </c>
      <c r="D25" s="97"/>
      <c r="E25" s="34"/>
      <c r="F25" s="90">
        <f>Datos!E16*B25</f>
        <v>208.8</v>
      </c>
      <c r="G25" s="93">
        <f>F29-F28</f>
        <v>68002.8</v>
      </c>
      <c r="H25" s="26">
        <f>Datos!E17*B25</f>
        <v>187.20000000000002</v>
      </c>
      <c r="I25" s="93">
        <f>H29-H28</f>
        <v>64039.199999999997</v>
      </c>
      <c r="J25" s="26">
        <f>Datos!E18*B25</f>
        <v>187.4</v>
      </c>
      <c r="K25" s="93">
        <f>J29-J28</f>
        <v>62051.4</v>
      </c>
      <c r="L25" s="26">
        <f>Datos!E19*B25</f>
        <v>170.60000000000002</v>
      </c>
      <c r="M25" s="93">
        <f>L29-L28</f>
        <v>52182.6</v>
      </c>
      <c r="N25" s="26">
        <f>Datos!E20*B25</f>
        <v>144</v>
      </c>
      <c r="O25" s="93">
        <f>N29-N28</f>
        <v>57286</v>
      </c>
      <c r="P25" s="26">
        <f>Datos!E21*B25</f>
        <v>148.6</v>
      </c>
      <c r="Q25" s="93">
        <f>P29-P28</f>
        <v>56558.6</v>
      </c>
      <c r="R25" s="26">
        <f>Datos!E22*B25</f>
        <v>151.4</v>
      </c>
      <c r="S25" s="93">
        <f>R29-R28</f>
        <v>53250.400000000001</v>
      </c>
      <c r="T25" s="26">
        <f>Datos!E23*B25</f>
        <v>124.2</v>
      </c>
      <c r="U25" s="95">
        <f>T29-T28</f>
        <v>47487.199999999997</v>
      </c>
      <c r="V25" s="37"/>
      <c r="W25" s="18">
        <v>0.15</v>
      </c>
      <c r="X25" s="37"/>
      <c r="Y25" s="97"/>
      <c r="Z25" s="34"/>
      <c r="AA25" s="26">
        <f>Datos!F16*W25</f>
        <v>123.44999999999999</v>
      </c>
      <c r="AB25" s="93">
        <f>AA29-AA28</f>
        <v>66733.45</v>
      </c>
      <c r="AC25" s="26">
        <f>Datos!F17*W25</f>
        <v>110.39999999999999</v>
      </c>
      <c r="AD25" s="93">
        <f>AC29-AC28</f>
        <v>62281.4</v>
      </c>
      <c r="AE25" s="26">
        <f>Datos!F18*W25</f>
        <v>103.35</v>
      </c>
      <c r="AF25" s="93">
        <f>AE29-AE28</f>
        <v>61282.35</v>
      </c>
      <c r="AG25" s="26">
        <f>Datos!F19*W25</f>
        <v>94.95</v>
      </c>
      <c r="AH25" s="93">
        <f>AG29-AG28</f>
        <v>50824.95</v>
      </c>
      <c r="AI25" s="26">
        <f>Datos!F20*W25</f>
        <v>83.1</v>
      </c>
      <c r="AJ25" s="93">
        <f>AI29-AI28</f>
        <v>56470.1</v>
      </c>
      <c r="AK25" s="26">
        <f>Datos!F21*W25</f>
        <v>90.6</v>
      </c>
      <c r="AL25" s="93">
        <f>AK29-AK28</f>
        <v>54654.6</v>
      </c>
      <c r="AM25" s="26">
        <f>Datos!F22*W25</f>
        <v>89.399999999999991</v>
      </c>
      <c r="AN25" s="93">
        <f>AM29-AM28</f>
        <v>51972.4</v>
      </c>
      <c r="AO25" s="26">
        <f>Datos!F23*W25</f>
        <v>72.149999999999991</v>
      </c>
      <c r="AP25" s="95">
        <f>AO29-AO28</f>
        <v>46250.15</v>
      </c>
    </row>
    <row r="26" spans="2:42" ht="15" customHeight="1" x14ac:dyDescent="0.25">
      <c r="D26" s="97"/>
      <c r="E26" s="34"/>
      <c r="F26" s="91"/>
      <c r="G26" s="93"/>
      <c r="H26" s="27"/>
      <c r="I26" s="93"/>
      <c r="J26" s="27"/>
      <c r="K26" s="93"/>
      <c r="L26" s="27"/>
      <c r="M26" s="93"/>
      <c r="N26" s="27"/>
      <c r="O26" s="93"/>
      <c r="P26" s="27"/>
      <c r="Q26" s="93"/>
      <c r="R26" s="27"/>
      <c r="S26" s="93"/>
      <c r="T26" s="27"/>
      <c r="U26" s="95"/>
      <c r="V26" s="37"/>
      <c r="X26" s="37"/>
      <c r="Y26" s="97"/>
      <c r="Z26" s="34"/>
      <c r="AA26" s="27"/>
      <c r="AB26" s="93"/>
      <c r="AC26" s="27"/>
      <c r="AD26" s="93"/>
      <c r="AE26" s="27"/>
      <c r="AF26" s="93"/>
      <c r="AG26" s="27"/>
      <c r="AH26" s="93"/>
      <c r="AI26" s="27"/>
      <c r="AJ26" s="93"/>
      <c r="AK26" s="27"/>
      <c r="AL26" s="93"/>
      <c r="AM26" s="27"/>
      <c r="AN26" s="93"/>
      <c r="AO26" s="27"/>
      <c r="AP26" s="95"/>
    </row>
    <row r="27" spans="2:42" ht="15" customHeight="1" x14ac:dyDescent="0.25">
      <c r="D27" s="97"/>
      <c r="E27" s="34"/>
      <c r="F27" s="91"/>
      <c r="G27" s="93"/>
      <c r="H27" s="27"/>
      <c r="I27" s="93"/>
      <c r="J27" s="27"/>
      <c r="K27" s="93"/>
      <c r="L27" s="27"/>
      <c r="M27" s="93"/>
      <c r="N27" s="27"/>
      <c r="O27" s="93"/>
      <c r="P27" s="27"/>
      <c r="Q27" s="93"/>
      <c r="R27" s="27"/>
      <c r="S27" s="93"/>
      <c r="T27" s="27"/>
      <c r="U27" s="95"/>
      <c r="V27" s="37"/>
      <c r="X27" s="37"/>
      <c r="Y27" s="97"/>
      <c r="Z27" s="34"/>
      <c r="AA27" s="27"/>
      <c r="AB27" s="93"/>
      <c r="AC27" s="27"/>
      <c r="AD27" s="93"/>
      <c r="AE27" s="27"/>
      <c r="AF27" s="93"/>
      <c r="AG27" s="27"/>
      <c r="AH27" s="93"/>
      <c r="AI27" s="27"/>
      <c r="AJ27" s="93"/>
      <c r="AK27" s="27"/>
      <c r="AL27" s="93"/>
      <c r="AM27" s="27"/>
      <c r="AN27" s="93"/>
      <c r="AO27" s="27"/>
      <c r="AP27" s="95"/>
    </row>
    <row r="28" spans="2:42" ht="15" customHeight="1" thickBot="1" x14ac:dyDescent="0.3">
      <c r="D28" s="97"/>
      <c r="E28" s="35">
        <v>0</v>
      </c>
      <c r="F28" s="92">
        <f>Datos!E16*(1-B25)</f>
        <v>835.2</v>
      </c>
      <c r="G28" s="93"/>
      <c r="H28" s="28">
        <f>Datos!E17*(1-B25)</f>
        <v>748.80000000000007</v>
      </c>
      <c r="I28" s="93"/>
      <c r="J28" s="28">
        <f>Datos!E18*(1-B25)</f>
        <v>749.6</v>
      </c>
      <c r="K28" s="93"/>
      <c r="L28" s="28">
        <f>Datos!E19*(1-B25)</f>
        <v>682.40000000000009</v>
      </c>
      <c r="M28" s="93"/>
      <c r="N28" s="28">
        <f>Datos!E20*(1-B25)</f>
        <v>576</v>
      </c>
      <c r="O28" s="93"/>
      <c r="P28" s="28">
        <f>Datos!E21*(1-B25)</f>
        <v>594.4</v>
      </c>
      <c r="Q28" s="93"/>
      <c r="R28" s="28">
        <f>Datos!E22*(1-B25)</f>
        <v>605.6</v>
      </c>
      <c r="S28" s="93"/>
      <c r="T28" s="28">
        <f>Datos!E23*(1-B25)</f>
        <v>496.8</v>
      </c>
      <c r="U28" s="95"/>
      <c r="V28" s="37"/>
      <c r="X28" s="37"/>
      <c r="Y28" s="97"/>
      <c r="Z28" s="35">
        <v>0</v>
      </c>
      <c r="AA28" s="28">
        <f>Datos!F16*(1-W25)</f>
        <v>699.55</v>
      </c>
      <c r="AB28" s="93"/>
      <c r="AC28" s="28">
        <f>Datos!F17*(1-W25)</f>
        <v>625.6</v>
      </c>
      <c r="AD28" s="93"/>
      <c r="AE28" s="28">
        <f>Datos!F18*(1-W25)</f>
        <v>585.65</v>
      </c>
      <c r="AF28" s="93"/>
      <c r="AG28" s="28">
        <f>Datos!F19*(1-W25)</f>
        <v>538.04999999999995</v>
      </c>
      <c r="AH28" s="93"/>
      <c r="AI28" s="28">
        <f>Datos!F20*(1-W25)</f>
        <v>470.9</v>
      </c>
      <c r="AJ28" s="93"/>
      <c r="AK28" s="28">
        <f>Datos!F21*(1-W25)</f>
        <v>513.4</v>
      </c>
      <c r="AL28" s="93"/>
      <c r="AM28" s="28">
        <f>Datos!F22*(1-W25)</f>
        <v>506.59999999999997</v>
      </c>
      <c r="AN28" s="93"/>
      <c r="AO28" s="28">
        <f>Datos!F23*(1-W25)</f>
        <v>408.84999999999997</v>
      </c>
      <c r="AP28" s="95"/>
    </row>
    <row r="29" spans="2:42" ht="15" customHeight="1" x14ac:dyDescent="0.2">
      <c r="E29" s="30"/>
      <c r="F29" s="21">
        <f>Datos!C16</f>
        <v>68838</v>
      </c>
      <c r="G29" s="22"/>
      <c r="H29" s="21">
        <f>Datos!C17</f>
        <v>64788</v>
      </c>
      <c r="I29" s="22"/>
      <c r="J29" s="21">
        <f>Datos!C18</f>
        <v>62801</v>
      </c>
      <c r="K29" s="22"/>
      <c r="L29" s="21">
        <f>Datos!C19</f>
        <v>52865</v>
      </c>
      <c r="M29" s="22"/>
      <c r="N29" s="21">
        <f>Datos!C20</f>
        <v>57862</v>
      </c>
      <c r="O29" s="22"/>
      <c r="P29" s="21">
        <f>Datos!C21</f>
        <v>57153</v>
      </c>
      <c r="Q29" s="22"/>
      <c r="R29" s="21">
        <f>Datos!C22</f>
        <v>53856</v>
      </c>
      <c r="S29" s="22"/>
      <c r="T29" s="21">
        <f>Datos!C23</f>
        <v>47984</v>
      </c>
      <c r="U29" s="22"/>
      <c r="V29" s="22"/>
      <c r="X29" s="22"/>
      <c r="Y29" s="97"/>
      <c r="AA29" s="21">
        <f>Datos!D16</f>
        <v>67433</v>
      </c>
      <c r="AB29" s="22"/>
      <c r="AC29" s="21">
        <f>Datos!D17</f>
        <v>62907</v>
      </c>
      <c r="AD29" s="22"/>
      <c r="AE29" s="21">
        <f>Datos!D18</f>
        <v>61868</v>
      </c>
      <c r="AF29" s="22"/>
      <c r="AG29" s="21">
        <f>Datos!D19</f>
        <v>51363</v>
      </c>
      <c r="AH29" s="22"/>
      <c r="AI29" s="21">
        <f>Datos!D20</f>
        <v>56941</v>
      </c>
      <c r="AJ29" s="22"/>
      <c r="AK29" s="21">
        <f>Datos!D21</f>
        <v>55168</v>
      </c>
      <c r="AL29" s="22"/>
      <c r="AM29" s="21">
        <f>Datos!D22</f>
        <v>52479</v>
      </c>
      <c r="AN29" s="22"/>
      <c r="AO29" s="21">
        <f>Datos!D23</f>
        <v>46659</v>
      </c>
      <c r="AP29" s="22"/>
    </row>
    <row r="30" spans="2:42" s="32" customFormat="1" ht="15" customHeight="1" x14ac:dyDescent="0.3">
      <c r="F30" s="31">
        <v>2017</v>
      </c>
      <c r="G30" s="31"/>
      <c r="H30" s="31">
        <v>2018</v>
      </c>
      <c r="I30" s="31"/>
      <c r="J30" s="31">
        <v>2019</v>
      </c>
      <c r="K30" s="31"/>
      <c r="L30" s="31">
        <v>2020</v>
      </c>
      <c r="M30" s="31"/>
      <c r="N30" s="31">
        <v>2021</v>
      </c>
      <c r="O30" s="31"/>
      <c r="P30" s="31">
        <v>2022</v>
      </c>
      <c r="Q30" s="31"/>
      <c r="R30" s="31">
        <v>2023</v>
      </c>
      <c r="S30" s="31"/>
      <c r="T30" s="31">
        <v>2024</v>
      </c>
      <c r="Z30" s="36"/>
      <c r="AA30" s="31">
        <v>2017</v>
      </c>
      <c r="AB30" s="31"/>
      <c r="AC30" s="31">
        <v>2018</v>
      </c>
      <c r="AD30" s="31"/>
      <c r="AE30" s="31">
        <v>2019</v>
      </c>
      <c r="AF30" s="31"/>
      <c r="AG30" s="31">
        <v>2020</v>
      </c>
      <c r="AH30" s="31"/>
      <c r="AI30" s="31">
        <v>2021</v>
      </c>
      <c r="AJ30" s="31"/>
      <c r="AK30" s="31">
        <v>2022</v>
      </c>
      <c r="AL30" s="31"/>
      <c r="AM30" s="31">
        <v>2023</v>
      </c>
      <c r="AN30" s="31"/>
      <c r="AO30" s="31" t="s">
        <v>29</v>
      </c>
    </row>
    <row r="31" spans="2:42" s="17" customFormat="1" x14ac:dyDescent="0.3">
      <c r="F31" s="96" t="s">
        <v>1</v>
      </c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AA31" s="96" t="s">
        <v>1</v>
      </c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</row>
    <row r="32" spans="2:42" x14ac:dyDescent="0.2"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</row>
    <row r="33" spans="10:41" x14ac:dyDescent="0.2">
      <c r="P33" s="38"/>
      <c r="Q33" s="38"/>
      <c r="R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</row>
    <row r="34" spans="10:41" x14ac:dyDescent="0.2">
      <c r="P34" s="38"/>
      <c r="Q34" s="38"/>
      <c r="R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</row>
    <row r="35" spans="10:41" x14ac:dyDescent="0.2">
      <c r="P35" s="38"/>
      <c r="Q35" s="38"/>
      <c r="R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</row>
    <row r="36" spans="10:41" x14ac:dyDescent="0.2">
      <c r="P36" s="38"/>
      <c r="Q36" s="38"/>
      <c r="R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</row>
    <row r="37" spans="10:41" x14ac:dyDescent="0.2">
      <c r="P37" s="38"/>
      <c r="Q37" s="38"/>
      <c r="R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</row>
    <row r="38" spans="10:41" x14ac:dyDescent="0.2">
      <c r="P38" s="38"/>
      <c r="Q38" s="38"/>
      <c r="R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</row>
    <row r="39" spans="10:41" x14ac:dyDescent="0.2">
      <c r="P39" s="38"/>
      <c r="Q39" s="38"/>
      <c r="R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</row>
    <row r="40" spans="10:41" x14ac:dyDescent="0.2">
      <c r="P40" s="38"/>
      <c r="Q40" s="38"/>
      <c r="R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</row>
    <row r="41" spans="10:41" x14ac:dyDescent="0.2"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</row>
    <row r="42" spans="10:41" x14ac:dyDescent="0.2"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</row>
    <row r="43" spans="10:41" x14ac:dyDescent="0.2"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</row>
    <row r="44" spans="10:41" x14ac:dyDescent="0.2"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</row>
    <row r="45" spans="10:41" x14ac:dyDescent="0.2"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</row>
    <row r="49" spans="10:41" x14ac:dyDescent="0.2"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</row>
    <row r="50" spans="10:41" x14ac:dyDescent="0.2"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</row>
    <row r="51" spans="10:41" x14ac:dyDescent="0.2"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</row>
    <row r="52" spans="10:41" x14ac:dyDescent="0.2"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</row>
    <row r="53" spans="10:41" x14ac:dyDescent="0.2"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</row>
    <row r="54" spans="10:41" x14ac:dyDescent="0.2"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</row>
    <row r="55" spans="10:41" x14ac:dyDescent="0.2"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</row>
    <row r="56" spans="10:41" x14ac:dyDescent="0.2"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</row>
    <row r="57" spans="10:41" x14ac:dyDescent="0.2"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</row>
    <row r="58" spans="10:41" x14ac:dyDescent="0.2"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</row>
    <row r="59" spans="10:41" x14ac:dyDescent="0.2"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</row>
    <row r="60" spans="10:41" x14ac:dyDescent="0.2"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</row>
    <row r="61" spans="10:41" x14ac:dyDescent="0.2"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</row>
    <row r="62" spans="10:41" x14ac:dyDescent="0.2"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</row>
    <row r="63" spans="10:41" x14ac:dyDescent="0.2"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</row>
    <row r="64" spans="10:41" x14ac:dyDescent="0.2"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</row>
    <row r="65" spans="10:41" x14ac:dyDescent="0.2"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</row>
    <row r="66" spans="10:41" x14ac:dyDescent="0.2"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</row>
    <row r="67" spans="10:41" x14ac:dyDescent="0.2"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</row>
  </sheetData>
  <mergeCells count="66">
    <mergeCell ref="F31:T31"/>
    <mergeCell ref="AA31:AO31"/>
    <mergeCell ref="Y4:Y29"/>
    <mergeCell ref="D3:D28"/>
    <mergeCell ref="AN25:AN28"/>
    <mergeCell ref="AN20:AN23"/>
    <mergeCell ref="K20:K23"/>
    <mergeCell ref="M20:M23"/>
    <mergeCell ref="O20:O23"/>
    <mergeCell ref="Q20:Q23"/>
    <mergeCell ref="S20:S23"/>
    <mergeCell ref="AF15:AF18"/>
    <mergeCell ref="AH15:AH18"/>
    <mergeCell ref="AJ15:AJ18"/>
    <mergeCell ref="AL15:AL18"/>
    <mergeCell ref="AN15:AN18"/>
    <mergeCell ref="AP25:AP28"/>
    <mergeCell ref="AB25:AB28"/>
    <mergeCell ref="AD25:AD28"/>
    <mergeCell ref="AF25:AF28"/>
    <mergeCell ref="AH25:AH28"/>
    <mergeCell ref="AJ25:AJ28"/>
    <mergeCell ref="AL25:AL28"/>
    <mergeCell ref="AP20:AP23"/>
    <mergeCell ref="G25:G28"/>
    <mergeCell ref="I25:I28"/>
    <mergeCell ref="K25:K28"/>
    <mergeCell ref="M25:M28"/>
    <mergeCell ref="O25:O28"/>
    <mergeCell ref="Q25:Q28"/>
    <mergeCell ref="S25:S28"/>
    <mergeCell ref="U25:U28"/>
    <mergeCell ref="U20:U23"/>
    <mergeCell ref="AD20:AD23"/>
    <mergeCell ref="AF20:AF23"/>
    <mergeCell ref="AH20:AH23"/>
    <mergeCell ref="AJ20:AJ23"/>
    <mergeCell ref="AL20:AL23"/>
    <mergeCell ref="I20:I23"/>
    <mergeCell ref="AP15:AP18"/>
    <mergeCell ref="AJ10:AJ13"/>
    <mergeCell ref="AL10:AL13"/>
    <mergeCell ref="AN10:AN13"/>
    <mergeCell ref="AP10:AP13"/>
    <mergeCell ref="K15:K18"/>
    <mergeCell ref="M15:M18"/>
    <mergeCell ref="O15:O18"/>
    <mergeCell ref="Q15:Q18"/>
    <mergeCell ref="S15:S18"/>
    <mergeCell ref="U15:U18"/>
    <mergeCell ref="M10:M13"/>
    <mergeCell ref="O10:O13"/>
    <mergeCell ref="Q10:Q13"/>
    <mergeCell ref="S10:S13"/>
    <mergeCell ref="U10:U13"/>
    <mergeCell ref="AH10:AH13"/>
    <mergeCell ref="E2:U2"/>
    <mergeCell ref="Z2:AP2"/>
    <mergeCell ref="O5:O8"/>
    <mergeCell ref="Q5:Q8"/>
    <mergeCell ref="S5:S8"/>
    <mergeCell ref="U5:U8"/>
    <mergeCell ref="AJ5:AJ8"/>
    <mergeCell ref="AL5:AL8"/>
    <mergeCell ref="AN5:AN8"/>
    <mergeCell ref="AP5:AP8"/>
  </mergeCells>
  <pageMargins left="0.7" right="0.7" top="0.75" bottom="0.75" header="0.3" footer="0.3"/>
  <pageSetup orientation="landscape" r:id="rId1"/>
  <headerFooter>
    <oddHeader>&amp;CPráctica Mortalidad 2</oddHeader>
  </headerFooter>
  <ignoredErrors>
    <ignoredError sqref="H25 J25:T28 J20 L20:T23 N10 P10:T13 P5:T8 L15:T18 AC25:AO28 AE20:AO23 AG15:AO18 AI10:AO12 AJ13:AO13 AK5:AO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0"/>
  <sheetViews>
    <sheetView showGridLines="0" showRowColHeaders="0" tabSelected="1" zoomScaleNormal="100" workbookViewId="0">
      <selection activeCell="I10" sqref="I10"/>
    </sheetView>
  </sheetViews>
  <sheetFormatPr baseColWidth="10" defaultColWidth="8.88671875" defaultRowHeight="11.4" x14ac:dyDescent="0.2"/>
  <cols>
    <col min="1" max="1" width="5.109375" style="6" customWidth="1"/>
    <col min="2" max="2" width="11.5546875" style="6" customWidth="1"/>
    <col min="3" max="4" width="10.88671875" style="6" customWidth="1"/>
    <col min="5" max="5" width="8.88671875" style="6"/>
    <col min="6" max="6" width="8.5546875" style="6" customWidth="1"/>
    <col min="7" max="8" width="10.88671875" style="6" customWidth="1"/>
    <col min="9" max="9" width="8.88671875" style="6"/>
    <col min="10" max="16" width="8.5546875" style="6" hidden="1" customWidth="1"/>
    <col min="17" max="16384" width="8.88671875" style="6"/>
  </cols>
  <sheetData>
    <row r="2" spans="2:16" ht="15" customHeight="1" x14ac:dyDescent="0.3">
      <c r="B2" s="107" t="s">
        <v>12</v>
      </c>
      <c r="C2" s="102" t="s">
        <v>13</v>
      </c>
      <c r="D2" s="103"/>
      <c r="E2" s="42"/>
      <c r="F2" s="112" t="s">
        <v>1</v>
      </c>
      <c r="G2" s="102" t="s">
        <v>14</v>
      </c>
      <c r="H2" s="103"/>
      <c r="I2" s="41"/>
      <c r="J2" s="112" t="s">
        <v>1</v>
      </c>
      <c r="K2" s="102" t="s">
        <v>15</v>
      </c>
      <c r="L2" s="110"/>
      <c r="M2" s="110"/>
      <c r="N2" s="110"/>
      <c r="O2" s="115"/>
      <c r="P2" s="116"/>
    </row>
    <row r="3" spans="2:16" ht="15" customHeight="1" x14ac:dyDescent="0.3">
      <c r="B3" s="109"/>
      <c r="C3" s="53" t="s">
        <v>4</v>
      </c>
      <c r="D3" s="16" t="s">
        <v>5</v>
      </c>
      <c r="E3" s="42"/>
      <c r="F3" s="114"/>
      <c r="G3" s="16" t="s">
        <v>4</v>
      </c>
      <c r="H3" s="16" t="s">
        <v>5</v>
      </c>
      <c r="I3" s="41"/>
      <c r="J3" s="113"/>
      <c r="K3" s="102" t="s">
        <v>4</v>
      </c>
      <c r="L3" s="110"/>
      <c r="M3" s="110"/>
      <c r="N3" s="102" t="s">
        <v>5</v>
      </c>
      <c r="O3" s="110"/>
      <c r="P3" s="103"/>
    </row>
    <row r="4" spans="2:16" ht="15" customHeight="1" x14ac:dyDescent="0.3">
      <c r="B4" s="63">
        <v>2020</v>
      </c>
      <c r="C4" s="43">
        <f>(('Diagrama de Lexis'!L28+'Diagrama de Lexis'!N25)/'Diagrama de Lexis'!L29)*1000</f>
        <v>15.632270878653175</v>
      </c>
      <c r="D4" s="69">
        <f>(('Diagrama de Lexis'!AE28+'Diagrama de Lexis'!AG25)/'Diagrama de Lexis'!AE29)*1000</f>
        <v>11.000840499127175</v>
      </c>
      <c r="E4" s="42"/>
      <c r="F4" s="63">
        <v>2020</v>
      </c>
      <c r="G4" s="54">
        <f>(('Diagrama de Lexis'!L28+'Diagrama de Lexis'!L25)/'Diagrama de Lexis'!L29)*1000</f>
        <v>16.135439326586589</v>
      </c>
      <c r="H4" s="70">
        <f>(('Diagrama de Lexis'!AE28+'Diagrama de Lexis'!AE25)/'Diagrama de Lexis'!AE29)*1000</f>
        <v>11.136613435055278</v>
      </c>
      <c r="I4" s="41"/>
      <c r="J4" s="114"/>
      <c r="K4" s="53" t="s">
        <v>16</v>
      </c>
      <c r="L4" s="53" t="s">
        <v>17</v>
      </c>
      <c r="M4" s="53" t="s">
        <v>18</v>
      </c>
      <c r="N4" s="66" t="s">
        <v>16</v>
      </c>
      <c r="O4" s="53" t="s">
        <v>17</v>
      </c>
      <c r="P4" s="56" t="s">
        <v>18</v>
      </c>
    </row>
    <row r="5" spans="2:16" ht="15" customHeight="1" x14ac:dyDescent="0.3">
      <c r="B5" s="64">
        <v>2021</v>
      </c>
      <c r="C5" s="57">
        <f>(('Diagrama de Lexis'!N28+'Diagrama de Lexis'!P25)/'Diagrama de Lexis'!N29)*1000</f>
        <v>12.522899312156511</v>
      </c>
      <c r="D5" s="70">
        <f>(('Diagrama de Lexis'!AG28+'Diagrama de Lexis'!AI25)/'Diagrama de Lexis'!AG29)*1000</f>
        <v>12.093335669645464</v>
      </c>
      <c r="E5" s="42"/>
      <c r="F5" s="64">
        <v>2021</v>
      </c>
      <c r="G5" s="55">
        <f>(('Diagrama de Lexis'!N28+'Diagrama de Lexis'!N25)/'Diagrama de Lexis'!N29)*1000</f>
        <v>12.443399813349004</v>
      </c>
      <c r="H5" s="70">
        <f>(('Diagrama de Lexis'!AG28+'Diagrama de Lexis'!AG25)/'Diagrama de Lexis'!AG29)*1000</f>
        <v>12.324046492611414</v>
      </c>
      <c r="I5" s="41"/>
      <c r="J5" s="63">
        <v>2002</v>
      </c>
      <c r="K5" s="44"/>
      <c r="L5" s="44"/>
      <c r="M5" s="45"/>
      <c r="N5" s="46"/>
      <c r="O5" s="44"/>
      <c r="P5" s="58"/>
    </row>
    <row r="6" spans="2:16" ht="15" customHeight="1" x14ac:dyDescent="0.3">
      <c r="B6" s="64">
        <v>2022</v>
      </c>
      <c r="C6" s="57">
        <f>(('Diagrama de Lexis'!P28+'Diagrama de Lexis'!R25)/'Diagrama de Lexis'!P29)*1000</f>
        <v>13.049183769880845</v>
      </c>
      <c r="D6" s="70">
        <f>(('Diagrama de Lexis'!AI28+'Diagrama de Lexis'!AK25)/'Diagrama de Lexis'!AI29)*1000</f>
        <v>9.8610842802198757</v>
      </c>
      <c r="E6" s="42"/>
      <c r="F6" s="64">
        <v>2022</v>
      </c>
      <c r="G6" s="55">
        <f>(('Diagrama de Lexis'!P28+'Diagrama de Lexis'!P25)/'Diagrama de Lexis'!P29)*1000</f>
        <v>13.000192465837314</v>
      </c>
      <c r="H6" s="70">
        <f>(('Diagrama de Lexis'!AI28+'Diagrama de Lexis'!AI25)/'Diagrama de Lexis'!AI29)*1000</f>
        <v>9.7293689959782927</v>
      </c>
      <c r="I6" s="41"/>
      <c r="J6" s="64">
        <v>2003</v>
      </c>
      <c r="K6" s="59"/>
      <c r="L6" s="59"/>
      <c r="M6" s="60"/>
      <c r="N6" s="47"/>
      <c r="O6" s="59"/>
      <c r="P6" s="61"/>
    </row>
    <row r="7" spans="2:16" ht="15" customHeight="1" x14ac:dyDescent="0.3">
      <c r="B7" s="65">
        <v>2023</v>
      </c>
      <c r="C7" s="48">
        <f>(('Diagrama de Lexis'!R28+'Diagrama de Lexis'!T25)/'Diagrama de Lexis'!R29)*1000</f>
        <v>13.550950683303626</v>
      </c>
      <c r="D7" s="68">
        <f>(('Diagrama de Lexis'!AK28+'Diagrama de Lexis'!AM25)/'Diagrama de Lexis'!AK29)*1000</f>
        <v>10.926624129930394</v>
      </c>
      <c r="E7" s="42"/>
      <c r="F7" s="65">
        <v>2023</v>
      </c>
      <c r="G7" s="52">
        <f>(('Diagrama de Lexis'!R28+'Diagrama de Lexis'!R25)/'Diagrama de Lexis'!R29)*1000</f>
        <v>14.056001188354129</v>
      </c>
      <c r="H7" s="68">
        <f>(('Diagrama de Lexis'!AK28+'Diagrama de Lexis'!AK25)/'Diagrama de Lexis'!AK29)*1000</f>
        <v>10.948375870069606</v>
      </c>
      <c r="I7" s="41"/>
      <c r="J7" s="64">
        <v>2004</v>
      </c>
      <c r="K7" s="59"/>
      <c r="L7" s="59"/>
      <c r="M7" s="60"/>
      <c r="N7" s="47"/>
      <c r="O7" s="59"/>
      <c r="P7" s="61"/>
    </row>
    <row r="8" spans="2:16" ht="15" customHeight="1" x14ac:dyDescent="0.3">
      <c r="B8" s="41"/>
      <c r="C8" s="41"/>
      <c r="D8" s="41"/>
      <c r="E8" s="41"/>
      <c r="F8" s="41"/>
      <c r="G8" s="41"/>
      <c r="H8" s="41"/>
      <c r="I8" s="41"/>
      <c r="J8" s="65">
        <v>2005</v>
      </c>
      <c r="K8" s="49"/>
      <c r="L8" s="49"/>
      <c r="M8" s="50"/>
      <c r="N8" s="51"/>
      <c r="O8" s="49"/>
      <c r="P8" s="62"/>
    </row>
    <row r="9" spans="2:16" ht="1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spans="2:16" ht="15" customHeight="1" x14ac:dyDescent="0.2"/>
    <row r="11" spans="2:16" ht="15" customHeight="1" x14ac:dyDescent="0.2"/>
    <row r="12" spans="2:16" ht="15" customHeight="1" x14ac:dyDescent="0.2"/>
    <row r="13" spans="2:16" ht="15" customHeight="1" x14ac:dyDescent="0.2"/>
    <row r="14" spans="2:16" ht="15" customHeight="1" x14ac:dyDescent="0.2"/>
    <row r="15" spans="2:16" ht="15" customHeight="1" x14ac:dyDescent="0.2"/>
    <row r="16" spans="2:16" ht="15" customHeight="1" x14ac:dyDescent="0.2"/>
    <row r="17" spans="10:16" ht="15" customHeight="1" x14ac:dyDescent="0.2"/>
    <row r="18" spans="10:16" ht="15" customHeight="1" x14ac:dyDescent="0.2"/>
    <row r="19" spans="10:16" s="7" customFormat="1" ht="15" customHeight="1" x14ac:dyDescent="0.2">
      <c r="J19" s="6"/>
      <c r="K19" s="6"/>
      <c r="L19" s="6"/>
      <c r="M19" s="6"/>
      <c r="N19" s="6"/>
      <c r="O19" s="6"/>
      <c r="P19" s="6"/>
    </row>
    <row r="20" spans="10:16" x14ac:dyDescent="0.2">
      <c r="J20" s="7"/>
      <c r="K20" s="7"/>
      <c r="L20" s="7"/>
      <c r="M20" s="7"/>
      <c r="N20" s="7"/>
      <c r="O20" s="7"/>
      <c r="P20" s="7"/>
    </row>
  </sheetData>
  <mergeCells count="8">
    <mergeCell ref="N3:P3"/>
    <mergeCell ref="J2:J4"/>
    <mergeCell ref="K2:P2"/>
    <mergeCell ref="B2:B3"/>
    <mergeCell ref="C2:D2"/>
    <mergeCell ref="F2:F3"/>
    <mergeCell ref="G2:H2"/>
    <mergeCell ref="K3:M3"/>
  </mergeCells>
  <pageMargins left="0.7" right="0.7" top="0.75" bottom="0.75" header="0.3" footer="0.3"/>
  <pageSetup orientation="landscape" r:id="rId1"/>
  <headerFooter>
    <oddHeader>&amp;CPráctica Mortalidad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Diagrama de Lexis</vt:lpstr>
      <vt:lpstr>TMI</vt:lpstr>
      <vt:lpstr>Datos!_Hlk24994008</vt:lpstr>
    </vt:vector>
  </TitlesOfParts>
  <Manager/>
  <Company>Cepal, Naciones Unidas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Peña M.;CELADE</dc:creator>
  <cp:keywords/>
  <dc:description/>
  <cp:lastModifiedBy>Ximena Ramìrez Pera</cp:lastModifiedBy>
  <cp:revision/>
  <dcterms:created xsi:type="dcterms:W3CDTF">2011-05-03T20:08:38Z</dcterms:created>
  <dcterms:modified xsi:type="dcterms:W3CDTF">2026-04-26T01:02:29Z</dcterms:modified>
  <cp:category/>
  <cp:contentStatus/>
</cp:coreProperties>
</file>