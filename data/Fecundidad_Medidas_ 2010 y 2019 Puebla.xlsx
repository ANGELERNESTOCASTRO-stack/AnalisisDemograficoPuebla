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el\Documents\DEMOGRAFÍA\DEMOGRAPHY_9219\data\"/>
    </mc:Choice>
  </mc:AlternateContent>
  <xr:revisionPtr revIDLastSave="0" documentId="13_ncr:1_{843487F4-071F-4B58-AC7F-C46F8F9C68C0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uebla" sheetId="9" r:id="rId1"/>
    <sheet name="Cuadro 1" sheetId="5" r:id="rId2"/>
    <sheet name="Cuadro 2" sheetId="4" r:id="rId3"/>
    <sheet name="TGF, TBR y TNR" sheetId="15" r:id="rId4"/>
    <sheet name="Sheet1" sheetId="16" state="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8" i="9" l="1"/>
  <c r="L17" i="9"/>
  <c r="M24" i="9"/>
  <c r="M23" i="9"/>
  <c r="M18" i="9"/>
  <c r="M17" i="9"/>
  <c r="Q6" i="9"/>
  <c r="I30" i="15"/>
  <c r="Q8" i="9"/>
  <c r="L41" i="15" s="1"/>
  <c r="J38" i="15"/>
  <c r="K38" i="15" s="1"/>
  <c r="J37" i="15"/>
  <c r="K37" i="15" s="1"/>
  <c r="J36" i="15"/>
  <c r="K36" i="15" s="1"/>
  <c r="J35" i="15"/>
  <c r="K35" i="15" s="1"/>
  <c r="J34" i="15"/>
  <c r="K34" i="15" s="1"/>
  <c r="J33" i="15"/>
  <c r="K33" i="15" s="1"/>
  <c r="J32" i="15"/>
  <c r="K32" i="15" s="1"/>
  <c r="H23" i="4"/>
  <c r="F23" i="4"/>
  <c r="E23" i="4"/>
  <c r="F22" i="4"/>
  <c r="E22" i="4"/>
  <c r="G22" i="4" s="1"/>
  <c r="H22" i="4" s="1"/>
  <c r="F21" i="4"/>
  <c r="E21" i="4"/>
  <c r="G21" i="4" s="1"/>
  <c r="H21" i="4" s="1"/>
  <c r="F20" i="4"/>
  <c r="E20" i="4"/>
  <c r="G20" i="4" s="1"/>
  <c r="H20" i="4" s="1"/>
  <c r="F19" i="4"/>
  <c r="E19" i="4"/>
  <c r="G19" i="4" s="1"/>
  <c r="H19" i="4" s="1"/>
  <c r="F18" i="4"/>
  <c r="E18" i="4"/>
  <c r="G18" i="4" s="1"/>
  <c r="H18" i="4" s="1"/>
  <c r="F17" i="4"/>
  <c r="E17" i="4"/>
  <c r="G17" i="4" s="1"/>
  <c r="H17" i="4" s="1"/>
  <c r="F16" i="4"/>
  <c r="G16" i="4" s="1"/>
  <c r="H16" i="4" s="1"/>
  <c r="E16" i="4"/>
  <c r="G15" i="4"/>
  <c r="H15" i="4" s="1"/>
  <c r="F15" i="4"/>
  <c r="E15" i="4"/>
  <c r="F14" i="4"/>
  <c r="E14" i="4"/>
  <c r="G14" i="4" s="1"/>
  <c r="H14" i="4" s="1"/>
  <c r="F13" i="4"/>
  <c r="E13" i="4"/>
  <c r="G13" i="4" s="1"/>
  <c r="H13" i="4" s="1"/>
  <c r="F12" i="4"/>
  <c r="E12" i="4"/>
  <c r="G12" i="4" s="1"/>
  <c r="H12" i="4" s="1"/>
  <c r="F11" i="4"/>
  <c r="E11" i="4"/>
  <c r="G11" i="4" s="1"/>
  <c r="H11" i="4" s="1"/>
  <c r="F10" i="4"/>
  <c r="E10" i="4"/>
  <c r="G10" i="4" s="1"/>
  <c r="H10" i="4" s="1"/>
  <c r="F9" i="4"/>
  <c r="E9" i="4"/>
  <c r="G9" i="4" s="1"/>
  <c r="H9" i="4" s="1"/>
  <c r="F8" i="4"/>
  <c r="G8" i="4" s="1"/>
  <c r="H8" i="4" s="1"/>
  <c r="E8" i="4"/>
  <c r="G7" i="4"/>
  <c r="H7" i="4" s="1"/>
  <c r="F7" i="4"/>
  <c r="E7" i="4"/>
  <c r="E6" i="4"/>
  <c r="E5" i="4"/>
  <c r="H10" i="15"/>
  <c r="H38" i="15"/>
  <c r="H37" i="15"/>
  <c r="H36" i="15"/>
  <c r="H35" i="15"/>
  <c r="H34" i="15"/>
  <c r="H33" i="15"/>
  <c r="H32" i="15"/>
  <c r="G38" i="15"/>
  <c r="G37" i="15"/>
  <c r="I37" i="15" s="1"/>
  <c r="G36" i="15"/>
  <c r="I36" i="15" s="1"/>
  <c r="G35" i="15"/>
  <c r="I35" i="15" s="1"/>
  <c r="G34" i="15"/>
  <c r="G33" i="15"/>
  <c r="I33" i="15" s="1"/>
  <c r="G32" i="15"/>
  <c r="J10" i="15"/>
  <c r="J9" i="15"/>
  <c r="J8" i="15"/>
  <c r="J7" i="15"/>
  <c r="J6" i="15"/>
  <c r="J5" i="15"/>
  <c r="J4" i="15"/>
  <c r="H23" i="5"/>
  <c r="F23" i="5"/>
  <c r="E23" i="5"/>
  <c r="F22" i="5"/>
  <c r="G22" i="5" s="1"/>
  <c r="H22" i="5" s="1"/>
  <c r="E22" i="5"/>
  <c r="G21" i="5"/>
  <c r="H21" i="5" s="1"/>
  <c r="F21" i="5"/>
  <c r="E21" i="5"/>
  <c r="F20" i="5"/>
  <c r="E20" i="5"/>
  <c r="G20" i="5" s="1"/>
  <c r="H20" i="5" s="1"/>
  <c r="F19" i="5"/>
  <c r="E19" i="5"/>
  <c r="G19" i="5" s="1"/>
  <c r="H19" i="5" s="1"/>
  <c r="F18" i="5"/>
  <c r="E18" i="5"/>
  <c r="G18" i="5" s="1"/>
  <c r="H18" i="5" s="1"/>
  <c r="F17" i="5"/>
  <c r="E17" i="5"/>
  <c r="G17" i="5" s="1"/>
  <c r="H17" i="5" s="1"/>
  <c r="F16" i="5"/>
  <c r="E16" i="5"/>
  <c r="G16" i="5" s="1"/>
  <c r="H16" i="5" s="1"/>
  <c r="F15" i="5"/>
  <c r="E15" i="5"/>
  <c r="G15" i="5" s="1"/>
  <c r="H15" i="5" s="1"/>
  <c r="F14" i="5"/>
  <c r="G14" i="5" s="1"/>
  <c r="H14" i="5" s="1"/>
  <c r="E14" i="5"/>
  <c r="G13" i="5"/>
  <c r="H13" i="5" s="1"/>
  <c r="F13" i="5"/>
  <c r="E13" i="5"/>
  <c r="F12" i="5"/>
  <c r="E12" i="5"/>
  <c r="G12" i="5" s="1"/>
  <c r="H12" i="5" s="1"/>
  <c r="F11" i="5"/>
  <c r="E11" i="5"/>
  <c r="G11" i="5" s="1"/>
  <c r="H11" i="5" s="1"/>
  <c r="F10" i="5"/>
  <c r="E10" i="5"/>
  <c r="G10" i="5" s="1"/>
  <c r="H10" i="5" s="1"/>
  <c r="F9" i="5"/>
  <c r="E9" i="5"/>
  <c r="G9" i="5" s="1"/>
  <c r="F8" i="5"/>
  <c r="E8" i="5"/>
  <c r="G8" i="5" s="1"/>
  <c r="H8" i="5" s="1"/>
  <c r="F7" i="5"/>
  <c r="E7" i="5"/>
  <c r="G7" i="5" s="1"/>
  <c r="H7" i="5" s="1"/>
  <c r="F6" i="5"/>
  <c r="G6" i="5" s="1"/>
  <c r="H6" i="5" s="1"/>
  <c r="E6" i="5"/>
  <c r="F5" i="5"/>
  <c r="G5" i="5" s="1"/>
  <c r="E5" i="5"/>
  <c r="I4" i="15"/>
  <c r="I2" i="15"/>
  <c r="L33" i="15" l="1"/>
  <c r="F6" i="4"/>
  <c r="G6" i="4" s="1"/>
  <c r="H6" i="4" s="1"/>
  <c r="F5" i="4"/>
  <c r="G5" i="4" s="1"/>
  <c r="L35" i="15"/>
  <c r="G39" i="15"/>
  <c r="G40" i="15"/>
  <c r="L36" i="15"/>
  <c r="L37" i="15"/>
  <c r="I34" i="15"/>
  <c r="L34" i="15" s="1"/>
  <c r="I38" i="15"/>
  <c r="L38" i="15" s="1"/>
  <c r="I32" i="15"/>
  <c r="L32" i="15" s="1"/>
  <c r="J5" i="5"/>
  <c r="H5" i="5"/>
  <c r="I6" i="5" s="1"/>
  <c r="H9" i="5"/>
  <c r="I26" i="9"/>
  <c r="H26" i="9"/>
  <c r="G26" i="9"/>
  <c r="I9" i="9"/>
  <c r="I8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7" i="9"/>
  <c r="H7" i="9"/>
  <c r="G7" i="9"/>
  <c r="H5" i="4" l="1"/>
  <c r="I6" i="4" s="1"/>
  <c r="J5" i="4"/>
  <c r="I41" i="15"/>
  <c r="L39" i="15"/>
  <c r="L42" i="15" s="1"/>
  <c r="J6" i="5"/>
  <c r="I7" i="5"/>
  <c r="K5" i="5"/>
  <c r="D7" i="9"/>
  <c r="C7" i="9"/>
  <c r="B7" i="9"/>
  <c r="J6" i="4" l="1"/>
  <c r="I7" i="4"/>
  <c r="K5" i="4"/>
  <c r="J7" i="5"/>
  <c r="I8" i="5"/>
  <c r="K6" i="5"/>
  <c r="J7" i="4" l="1"/>
  <c r="I8" i="4"/>
  <c r="K6" i="4"/>
  <c r="I9" i="5"/>
  <c r="J8" i="5"/>
  <c r="K7" i="5"/>
  <c r="I9" i="4" l="1"/>
  <c r="K7" i="4"/>
  <c r="J8" i="4"/>
  <c r="I10" i="5"/>
  <c r="J9" i="5"/>
  <c r="K8" i="5"/>
  <c r="B26" i="9"/>
  <c r="C26" i="9"/>
  <c r="D26" i="9"/>
  <c r="I10" i="4" l="1"/>
  <c r="K8" i="4"/>
  <c r="J9" i="4"/>
  <c r="I11" i="5"/>
  <c r="J10" i="5"/>
  <c r="K9" i="5"/>
  <c r="I11" i="4" l="1"/>
  <c r="J10" i="4"/>
  <c r="K9" i="4"/>
  <c r="J11" i="5"/>
  <c r="I12" i="5"/>
  <c r="K10" i="5"/>
  <c r="I12" i="4" l="1"/>
  <c r="J11" i="4"/>
  <c r="K10" i="4"/>
  <c r="J12" i="5"/>
  <c r="I13" i="5"/>
  <c r="K11" i="5"/>
  <c r="I13" i="4" l="1"/>
  <c r="J12" i="4"/>
  <c r="K11" i="4"/>
  <c r="I14" i="5"/>
  <c r="J13" i="5"/>
  <c r="K12" i="5"/>
  <c r="J13" i="4" l="1"/>
  <c r="I14" i="4"/>
  <c r="K12" i="4"/>
  <c r="J14" i="5"/>
  <c r="I15" i="5"/>
  <c r="K13" i="5"/>
  <c r="I15" i="4" l="1"/>
  <c r="K13" i="4"/>
  <c r="J14" i="4"/>
  <c r="I16" i="5"/>
  <c r="K14" i="5"/>
  <c r="J15" i="5"/>
  <c r="I16" i="4" l="1"/>
  <c r="K14" i="4"/>
  <c r="J15" i="4"/>
  <c r="I17" i="5"/>
  <c r="J16" i="5"/>
  <c r="K15" i="5"/>
  <c r="I17" i="4" l="1"/>
  <c r="J16" i="4"/>
  <c r="K15" i="4"/>
  <c r="I18" i="5"/>
  <c r="J17" i="5"/>
  <c r="K16" i="5"/>
  <c r="I18" i="4" l="1"/>
  <c r="K16" i="4"/>
  <c r="J17" i="4"/>
  <c r="I19" i="5"/>
  <c r="J18" i="5"/>
  <c r="K17" i="5"/>
  <c r="I19" i="4" l="1"/>
  <c r="J18" i="4"/>
  <c r="K17" i="4"/>
  <c r="J19" i="5"/>
  <c r="I20" i="5"/>
  <c r="K18" i="5"/>
  <c r="I20" i="4" l="1"/>
  <c r="J19" i="4"/>
  <c r="K18" i="4"/>
  <c r="J20" i="5"/>
  <c r="K19" i="5"/>
  <c r="I21" i="5"/>
  <c r="K19" i="4" l="1"/>
  <c r="I21" i="4"/>
  <c r="J20" i="4"/>
  <c r="I22" i="5"/>
  <c r="K20" i="5"/>
  <c r="J21" i="5"/>
  <c r="J21" i="4" l="1"/>
  <c r="I22" i="4"/>
  <c r="K20" i="4"/>
  <c r="J22" i="5"/>
  <c r="K21" i="5"/>
  <c r="I23" i="5"/>
  <c r="K21" i="4" l="1"/>
  <c r="I23" i="4"/>
  <c r="J22" i="4"/>
  <c r="K23" i="5"/>
  <c r="K22" i="5"/>
  <c r="L23" i="5"/>
  <c r="M23" i="5" s="1"/>
  <c r="J23" i="5"/>
  <c r="K23" i="4" l="1"/>
  <c r="J23" i="4"/>
  <c r="L23" i="4"/>
  <c r="M23" i="4" s="1"/>
  <c r="K22" i="4"/>
  <c r="L22" i="4" s="1"/>
  <c r="M22" i="4" s="1"/>
  <c r="L22" i="5"/>
  <c r="L21" i="4" l="1"/>
  <c r="M22" i="5"/>
  <c r="L21" i="5"/>
  <c r="M21" i="4" l="1"/>
  <c r="L20" i="4"/>
  <c r="M21" i="5"/>
  <c r="L20" i="5"/>
  <c r="M20" i="4" l="1"/>
  <c r="L19" i="4"/>
  <c r="M20" i="5"/>
  <c r="L19" i="5"/>
  <c r="M19" i="4" l="1"/>
  <c r="L18" i="4"/>
  <c r="M19" i="5"/>
  <c r="L18" i="5"/>
  <c r="M18" i="4" l="1"/>
  <c r="L17" i="4"/>
  <c r="M18" i="5"/>
  <c r="L17" i="5"/>
  <c r="M17" i="4" l="1"/>
  <c r="L16" i="4"/>
  <c r="M17" i="5"/>
  <c r="L16" i="5"/>
  <c r="M16" i="4" l="1"/>
  <c r="L15" i="4"/>
  <c r="M16" i="5"/>
  <c r="L15" i="5"/>
  <c r="M15" i="4" l="1"/>
  <c r="L14" i="4"/>
  <c r="M15" i="5"/>
  <c r="L14" i="5"/>
  <c r="M14" i="4" l="1"/>
  <c r="L13" i="4"/>
  <c r="M14" i="5"/>
  <c r="L13" i="5"/>
  <c r="M13" i="4" l="1"/>
  <c r="L12" i="4"/>
  <c r="M13" i="5"/>
  <c r="L12" i="5"/>
  <c r="M12" i="4" l="1"/>
  <c r="L11" i="4"/>
  <c r="M12" i="5"/>
  <c r="L11" i="5"/>
  <c r="M11" i="4" l="1"/>
  <c r="L10" i="4"/>
  <c r="M11" i="5"/>
  <c r="L10" i="5"/>
  <c r="M10" i="4" l="1"/>
  <c r="L9" i="4"/>
  <c r="M10" i="5"/>
  <c r="L9" i="5"/>
  <c r="M9" i="4" l="1"/>
  <c r="L8" i="4"/>
  <c r="M9" i="5"/>
  <c r="L8" i="5"/>
  <c r="M8" i="4" l="1"/>
  <c r="L7" i="4"/>
  <c r="M8" i="5"/>
  <c r="L7" i="5"/>
  <c r="M7" i="4" l="1"/>
  <c r="L6" i="4"/>
  <c r="M7" i="5"/>
  <c r="L6" i="5"/>
  <c r="M6" i="4" l="1"/>
  <c r="L5" i="4"/>
  <c r="M5" i="4" s="1"/>
  <c r="M6" i="5"/>
  <c r="L5" i="5"/>
  <c r="M5" i="5" s="1"/>
  <c r="F32" i="9" l="1"/>
  <c r="C33" i="9"/>
  <c r="B33" i="9"/>
  <c r="B32" i="9"/>
  <c r="B34" i="9" l="1"/>
  <c r="G32" i="9"/>
  <c r="E8" i="16"/>
  <c r="E9" i="16"/>
  <c r="G9" i="16"/>
  <c r="G8" i="16"/>
  <c r="J12" i="16"/>
  <c r="I12" i="16" s="1"/>
  <c r="M54" i="9"/>
  <c r="M53" i="9"/>
  <c r="M48" i="9"/>
  <c r="M47" i="9"/>
  <c r="M42" i="9"/>
  <c r="M41" i="9"/>
  <c r="M36" i="9"/>
  <c r="M35" i="9"/>
  <c r="M30" i="9"/>
  <c r="M29" i="9"/>
  <c r="K24" i="9"/>
  <c r="K30" i="9" s="1"/>
  <c r="K36" i="9" s="1"/>
  <c r="K42" i="9" s="1"/>
  <c r="K48" i="9" s="1"/>
  <c r="K54" i="9" s="1"/>
  <c r="K23" i="9"/>
  <c r="K29" i="9" s="1"/>
  <c r="K35" i="9" s="1"/>
  <c r="K41" i="9" s="1"/>
  <c r="K47" i="9" s="1"/>
  <c r="K53" i="9" s="1"/>
  <c r="P17" i="9"/>
  <c r="L23" i="9"/>
  <c r="L29" i="9" s="1"/>
  <c r="L35" i="9" s="1"/>
  <c r="L41" i="9" s="1"/>
  <c r="L47" i="9" l="1"/>
  <c r="L24" i="9"/>
  <c r="L19" i="9"/>
  <c r="N17" i="9" s="1"/>
  <c r="P23" i="9"/>
  <c r="Q17" i="9"/>
  <c r="F5" i="16"/>
  <c r="K4" i="15"/>
  <c r="F11" i="16"/>
  <c r="K10" i="15"/>
  <c r="F10" i="16"/>
  <c r="K9" i="15"/>
  <c r="F9" i="16"/>
  <c r="K8" i="15"/>
  <c r="F8" i="16"/>
  <c r="K7" i="15"/>
  <c r="F7" i="16"/>
  <c r="K6" i="15"/>
  <c r="F6" i="16"/>
  <c r="K5" i="15"/>
  <c r="E5" i="16"/>
  <c r="G5" i="16"/>
  <c r="E11" i="16"/>
  <c r="G11" i="16"/>
  <c r="G10" i="16"/>
  <c r="E10" i="16"/>
  <c r="E7" i="16"/>
  <c r="G7" i="16"/>
  <c r="E6" i="16"/>
  <c r="G6" i="16"/>
  <c r="R17" i="9" l="1"/>
  <c r="H6" i="16"/>
  <c r="H7" i="16"/>
  <c r="H8" i="16"/>
  <c r="H9" i="16"/>
  <c r="H10" i="16"/>
  <c r="H11" i="16"/>
  <c r="H5" i="16"/>
  <c r="P29" i="9"/>
  <c r="Q23" i="9"/>
  <c r="L30" i="9"/>
  <c r="L25" i="9"/>
  <c r="N23" i="9" s="1"/>
  <c r="L53" i="9"/>
  <c r="R23" i="9" l="1"/>
  <c r="L36" i="9"/>
  <c r="L31" i="9"/>
  <c r="N29" i="9" s="1"/>
  <c r="P35" i="9"/>
  <c r="Q29" i="9"/>
  <c r="C10" i="16"/>
  <c r="C5" i="16"/>
  <c r="G4" i="15"/>
  <c r="M11" i="9"/>
  <c r="C32" i="9"/>
  <c r="G5" i="15" l="1"/>
  <c r="D6" i="16" s="1"/>
  <c r="D32" i="9"/>
  <c r="H32" i="9" s="1"/>
  <c r="L4" i="15"/>
  <c r="D5" i="16"/>
  <c r="I6" i="16"/>
  <c r="C6" i="16"/>
  <c r="P41" i="9"/>
  <c r="Q35" i="9"/>
  <c r="R29" i="9"/>
  <c r="L42" i="9"/>
  <c r="L37" i="9"/>
  <c r="N35" i="9" s="1"/>
  <c r="C9" i="16"/>
  <c r="C11" i="16"/>
  <c r="I10" i="16"/>
  <c r="I5" i="16"/>
  <c r="C7" i="16"/>
  <c r="I5" i="15" l="1"/>
  <c r="L5" i="15" s="1"/>
  <c r="J6" i="16" s="1"/>
  <c r="I9" i="16"/>
  <c r="C8" i="16"/>
  <c r="L48" i="9"/>
  <c r="L43" i="9"/>
  <c r="N41" i="9" s="1"/>
  <c r="G6" i="15"/>
  <c r="R35" i="9"/>
  <c r="P47" i="9"/>
  <c r="Q41" i="9"/>
  <c r="J5" i="16"/>
  <c r="I7" i="16"/>
  <c r="I8" i="16"/>
  <c r="I11" i="16"/>
  <c r="P53" i="9" l="1"/>
  <c r="Q53" i="9" s="1"/>
  <c r="Q47" i="9"/>
  <c r="G7" i="15"/>
  <c r="I6" i="15"/>
  <c r="L6" i="15" s="1"/>
  <c r="D7" i="16"/>
  <c r="R41" i="9"/>
  <c r="L54" i="9"/>
  <c r="L55" i="9" s="1"/>
  <c r="N53" i="9" s="1"/>
  <c r="L49" i="9"/>
  <c r="N47" i="9" s="1"/>
  <c r="R47" i="9" s="1"/>
  <c r="G9" i="15" s="1"/>
  <c r="I13" i="16" l="1"/>
  <c r="I9" i="15"/>
  <c r="L9" i="15" s="1"/>
  <c r="J10" i="16" s="1"/>
  <c r="D10" i="16"/>
  <c r="G8" i="15"/>
  <c r="J7" i="16"/>
  <c r="I7" i="15"/>
  <c r="L7" i="15" s="1"/>
  <c r="D8" i="16"/>
  <c r="R53" i="9"/>
  <c r="G10" i="15" l="1"/>
  <c r="G12" i="15" s="1"/>
  <c r="N11" i="9"/>
  <c r="J8" i="16"/>
  <c r="I8" i="15"/>
  <c r="L8" i="15" s="1"/>
  <c r="D9" i="16"/>
  <c r="G11" i="15" l="1"/>
  <c r="H4" i="15" s="1"/>
  <c r="L13" i="15"/>
  <c r="I13" i="15"/>
  <c r="N2" i="15"/>
  <c r="J9" i="16"/>
  <c r="I10" i="15"/>
  <c r="L10" i="15" s="1"/>
  <c r="D11" i="16"/>
  <c r="H8" i="15" l="1"/>
  <c r="H7" i="15"/>
  <c r="H9" i="15"/>
  <c r="H6" i="15"/>
  <c r="H5" i="15"/>
  <c r="J11" i="16"/>
  <c r="L11" i="15"/>
  <c r="L14" i="15" s="1"/>
  <c r="J13" i="16" l="1"/>
</calcChain>
</file>

<file path=xl/sharedStrings.xml><?xml version="1.0" encoding="utf-8"?>
<sst xmlns="http://schemas.openxmlformats.org/spreadsheetml/2006/main" count="248" uniqueCount="78">
  <si>
    <t>Edad</t>
  </si>
  <si>
    <t>Población 30/06/2010</t>
  </si>
  <si>
    <t>15-19</t>
  </si>
  <si>
    <t>20-24</t>
  </si>
  <si>
    <t>Hombres</t>
  </si>
  <si>
    <t>Mujeres</t>
  </si>
  <si>
    <t>Total</t>
  </si>
  <si>
    <t>25-29</t>
  </si>
  <si>
    <t>0-4</t>
  </si>
  <si>
    <t>30-34</t>
  </si>
  <si>
    <t>5-9</t>
  </si>
  <si>
    <t>35-39</t>
  </si>
  <si>
    <t>K</t>
  </si>
  <si>
    <t>10-14</t>
  </si>
  <si>
    <t>40-44</t>
  </si>
  <si>
    <t>45-49</t>
  </si>
  <si>
    <t>Fuente: Elaborado sobre la base de estadísticas vitales</t>
  </si>
  <si>
    <t>Tasas de crecimiento exponencial para Edades Específicas MEF</t>
  </si>
  <si>
    <t>Fechas</t>
  </si>
  <si>
    <r>
      <t>t</t>
    </r>
    <r>
      <rPr>
        <vertAlign val="subscript"/>
        <sz val="10"/>
        <color theme="1"/>
        <rFont val="Arial"/>
        <family val="2"/>
      </rPr>
      <t>i</t>
    </r>
  </si>
  <si>
    <t>N</t>
  </si>
  <si>
    <t>r</t>
  </si>
  <si>
    <r>
      <rPr>
        <sz val="10"/>
        <color theme="1"/>
        <rFont val="Calibri"/>
        <family val="2"/>
      </rPr>
      <t>Δ</t>
    </r>
    <r>
      <rPr>
        <vertAlign val="subscript"/>
        <sz val="10"/>
        <color theme="1"/>
        <rFont val="Calibri"/>
        <family val="2"/>
      </rPr>
      <t>t</t>
    </r>
  </si>
  <si>
    <r>
      <t>N</t>
    </r>
    <r>
      <rPr>
        <vertAlign val="superscript"/>
        <sz val="11"/>
        <color theme="1"/>
        <rFont val="Calibri"/>
        <family val="2"/>
        <scheme val="minor"/>
      </rPr>
      <t>30/06/2010</t>
    </r>
  </si>
  <si>
    <t>50-54</t>
  </si>
  <si>
    <t>55-59</t>
  </si>
  <si>
    <t>31/08/2010</t>
  </si>
  <si>
    <t>60-64</t>
  </si>
  <si>
    <t>65-69</t>
  </si>
  <si>
    <t>70-74</t>
  </si>
  <si>
    <t>75-79</t>
  </si>
  <si>
    <t>80-84</t>
  </si>
  <si>
    <t>85-89</t>
  </si>
  <si>
    <t xml:space="preserve"> Total</t>
  </si>
  <si>
    <t>Tasas de crecimiento exponencial para el Total de la Población</t>
  </si>
  <si>
    <t>Cuadro 1</t>
  </si>
  <si>
    <t>Cuadro 2</t>
  </si>
  <si>
    <t>Panamá</t>
  </si>
  <si>
    <t>Brasil</t>
  </si>
  <si>
    <t>TGF</t>
  </si>
  <si>
    <t>TBR</t>
  </si>
  <si>
    <t>TNR</t>
  </si>
  <si>
    <t>Punto medio</t>
  </si>
  <si>
    <t>x</t>
  </si>
  <si>
    <t>x+n</t>
  </si>
  <si>
    <t>Nacimientos</t>
  </si>
  <si>
    <t>Población femenina 30/06/2010</t>
  </si>
  <si>
    <t>f(x,5)</t>
  </si>
  <si>
    <t>% f(x,5)</t>
  </si>
  <si>
    <t>f(x,5) fem</t>
  </si>
  <si>
    <t>L(x) fem</t>
  </si>
  <si>
    <r>
      <rPr>
        <b/>
        <vertAlign val="subscript"/>
        <sz val="10"/>
        <color theme="1"/>
        <rFont val="Arial"/>
        <family val="2"/>
      </rPr>
      <t>m+2,5</t>
    </r>
    <r>
      <rPr>
        <b/>
        <sz val="10"/>
        <color theme="1"/>
        <rFont val="Arial"/>
        <family val="2"/>
      </rPr>
      <t>P</t>
    </r>
    <r>
      <rPr>
        <b/>
        <vertAlign val="subscript"/>
        <sz val="10"/>
        <color theme="1"/>
        <rFont val="Arial"/>
        <family val="2"/>
      </rPr>
      <t>0</t>
    </r>
  </si>
  <si>
    <r>
      <rPr>
        <b/>
        <vertAlign val="subscript"/>
        <sz val="10"/>
        <color theme="1"/>
        <rFont val="Arial"/>
        <family val="2"/>
      </rPr>
      <t>m+2,5</t>
    </r>
    <r>
      <rPr>
        <b/>
        <sz val="10"/>
        <color theme="1"/>
        <rFont val="Arial"/>
        <family val="2"/>
      </rPr>
      <t>P</t>
    </r>
    <r>
      <rPr>
        <b/>
        <vertAlign val="subscript"/>
        <sz val="10"/>
        <color theme="1"/>
        <rFont val="Arial"/>
        <family val="2"/>
      </rPr>
      <t>0</t>
    </r>
    <r>
      <rPr>
        <b/>
        <sz val="10"/>
        <color theme="1"/>
        <rFont val="Arial"/>
        <family val="2"/>
      </rPr>
      <t xml:space="preserve"> * f(x,5)fem</t>
    </r>
  </si>
  <si>
    <t>TBR (K obs)</t>
  </si>
  <si>
    <t>nLx</t>
  </si>
  <si>
    <t>nLx / (5*lo)</t>
  </si>
  <si>
    <t>f(x,5) * (nLx / (5*lo))</t>
  </si>
  <si>
    <t>Puebla: población total censada por sexo y grupos quinquenales de edad, 2010</t>
  </si>
  <si>
    <t>Puebla 2010</t>
  </si>
  <si>
    <t>Puebla 2019</t>
  </si>
  <si>
    <t>Puebla: población total censada por sexo y grupos quinquenales de edad, 2019</t>
  </si>
  <si>
    <t>Puebla: tablas abreviadas de mortalidad, 2010, mujeres</t>
  </si>
  <si>
    <t>x (edad)</t>
  </si>
  <si>
    <t>n</t>
  </si>
  <si>
    <r>
      <rPr>
        <b/>
        <vertAlign val="subscript"/>
        <sz val="11"/>
        <color theme="0"/>
        <rFont val="Calibri"/>
        <family val="2"/>
        <scheme val="minor"/>
      </rPr>
      <t>n</t>
    </r>
    <r>
      <rPr>
        <b/>
        <sz val="11"/>
        <color theme="0"/>
        <rFont val="Calibri"/>
        <family val="2"/>
        <scheme val="minor"/>
      </rPr>
      <t>N</t>
    </r>
    <r>
      <rPr>
        <b/>
        <vertAlign val="subscript"/>
        <sz val="11"/>
        <color theme="0"/>
        <rFont val="Calibri"/>
        <family val="2"/>
        <scheme val="minor"/>
      </rPr>
      <t>x</t>
    </r>
  </si>
  <si>
    <r>
      <rPr>
        <b/>
        <vertAlign val="subscript"/>
        <sz val="11"/>
        <color theme="0"/>
        <rFont val="Calibri"/>
        <family val="2"/>
        <scheme val="minor"/>
      </rPr>
      <t>n</t>
    </r>
    <r>
      <rPr>
        <b/>
        <sz val="11"/>
        <color theme="0"/>
        <rFont val="Calibri"/>
        <family val="2"/>
        <scheme val="minor"/>
      </rPr>
      <t>D</t>
    </r>
    <r>
      <rPr>
        <b/>
        <vertAlign val="subscript"/>
        <sz val="11"/>
        <color theme="0"/>
        <rFont val="Calibri"/>
        <family val="2"/>
        <scheme val="minor"/>
      </rPr>
      <t>x</t>
    </r>
  </si>
  <si>
    <r>
      <rPr>
        <b/>
        <vertAlign val="subscript"/>
        <sz val="11"/>
        <color theme="0"/>
        <rFont val="Calibri"/>
        <family val="2"/>
        <scheme val="minor"/>
      </rPr>
      <t>n</t>
    </r>
    <r>
      <rPr>
        <b/>
        <sz val="11"/>
        <color theme="0"/>
        <rFont val="Calibri"/>
        <family val="2"/>
        <scheme val="minor"/>
      </rPr>
      <t>m</t>
    </r>
    <r>
      <rPr>
        <b/>
        <vertAlign val="subscript"/>
        <sz val="11"/>
        <color theme="0"/>
        <rFont val="Calibri"/>
        <family val="2"/>
        <scheme val="minor"/>
      </rPr>
      <t>x</t>
    </r>
  </si>
  <si>
    <r>
      <rPr>
        <b/>
        <vertAlign val="subscript"/>
        <sz val="11"/>
        <color theme="0"/>
        <rFont val="Calibri"/>
        <family val="2"/>
        <scheme val="minor"/>
      </rPr>
      <t>n</t>
    </r>
    <r>
      <rPr>
        <b/>
        <sz val="11"/>
        <color theme="0"/>
        <rFont val="Calibri"/>
        <family val="2"/>
        <scheme val="minor"/>
      </rPr>
      <t>a</t>
    </r>
    <r>
      <rPr>
        <b/>
        <vertAlign val="subscript"/>
        <sz val="11"/>
        <color theme="0"/>
        <rFont val="Calibri"/>
        <family val="2"/>
        <scheme val="minor"/>
      </rPr>
      <t>x</t>
    </r>
  </si>
  <si>
    <r>
      <rPr>
        <b/>
        <vertAlign val="subscript"/>
        <sz val="11"/>
        <color theme="0"/>
        <rFont val="Calibri"/>
        <family val="2"/>
        <scheme val="minor"/>
      </rPr>
      <t>n</t>
    </r>
    <r>
      <rPr>
        <b/>
        <sz val="11"/>
        <color theme="0"/>
        <rFont val="Calibri"/>
        <family val="2"/>
        <scheme val="minor"/>
      </rPr>
      <t>q</t>
    </r>
    <r>
      <rPr>
        <b/>
        <vertAlign val="subscript"/>
        <sz val="11"/>
        <color theme="0"/>
        <rFont val="Calibri"/>
        <family val="2"/>
        <scheme val="minor"/>
      </rPr>
      <t>x</t>
    </r>
  </si>
  <si>
    <r>
      <rPr>
        <b/>
        <vertAlign val="subscript"/>
        <sz val="11"/>
        <color theme="0"/>
        <rFont val="Calibri"/>
        <family val="2"/>
        <scheme val="minor"/>
      </rPr>
      <t>n</t>
    </r>
    <r>
      <rPr>
        <b/>
        <sz val="11"/>
        <color theme="0"/>
        <rFont val="Calibri"/>
        <family val="2"/>
        <scheme val="minor"/>
      </rPr>
      <t>p</t>
    </r>
    <r>
      <rPr>
        <b/>
        <vertAlign val="subscript"/>
        <sz val="11"/>
        <color theme="0"/>
        <rFont val="Calibri"/>
        <family val="2"/>
        <scheme val="minor"/>
      </rPr>
      <t>x</t>
    </r>
  </si>
  <si>
    <r>
      <t>l</t>
    </r>
    <r>
      <rPr>
        <b/>
        <vertAlign val="subscript"/>
        <sz val="11"/>
        <color theme="0"/>
        <rFont val="Calibri"/>
        <family val="2"/>
        <scheme val="minor"/>
      </rPr>
      <t>x</t>
    </r>
  </si>
  <si>
    <r>
      <rPr>
        <b/>
        <vertAlign val="subscript"/>
        <sz val="11"/>
        <color theme="0"/>
        <rFont val="Calibri"/>
        <family val="2"/>
        <scheme val="minor"/>
      </rPr>
      <t>n</t>
    </r>
    <r>
      <rPr>
        <b/>
        <sz val="11"/>
        <color theme="0"/>
        <rFont val="Calibri"/>
        <family val="2"/>
        <scheme val="minor"/>
      </rPr>
      <t>d</t>
    </r>
    <r>
      <rPr>
        <b/>
        <vertAlign val="subscript"/>
        <sz val="11"/>
        <color theme="0"/>
        <rFont val="Calibri"/>
        <family val="2"/>
        <scheme val="minor"/>
      </rPr>
      <t>x</t>
    </r>
  </si>
  <si>
    <r>
      <rPr>
        <b/>
        <vertAlign val="subscript"/>
        <sz val="11"/>
        <color theme="0"/>
        <rFont val="Calibri"/>
        <family val="2"/>
        <scheme val="minor"/>
      </rPr>
      <t>n</t>
    </r>
    <r>
      <rPr>
        <b/>
        <sz val="11"/>
        <color theme="0"/>
        <rFont val="Calibri"/>
        <family val="2"/>
        <scheme val="minor"/>
      </rPr>
      <t>L</t>
    </r>
    <r>
      <rPr>
        <b/>
        <vertAlign val="subscript"/>
        <sz val="11"/>
        <color theme="0"/>
        <rFont val="Calibri"/>
        <family val="2"/>
        <scheme val="minor"/>
      </rPr>
      <t>x</t>
    </r>
  </si>
  <si>
    <r>
      <t>T</t>
    </r>
    <r>
      <rPr>
        <b/>
        <vertAlign val="subscript"/>
        <sz val="11"/>
        <color theme="0"/>
        <rFont val="Calibri"/>
        <family val="2"/>
        <scheme val="minor"/>
      </rPr>
      <t>x</t>
    </r>
  </si>
  <si>
    <t>85+</t>
  </si>
  <si>
    <t>Puebla: tablas abreviadas de mortalidad, 2019, mujeres</t>
  </si>
  <si>
    <t>Puebla: nacimientos por sexo, 2010</t>
  </si>
  <si>
    <t>Puebla: nacimientos por grupos quinquenales de edad de la madre,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</si>
</sst>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6" formatCode="0.000"/>
  </numFmts>
  <fonts count="25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7030A0"/>
      <name val="Arial"/>
      <family val="2"/>
    </font>
    <font>
      <b/>
      <vertAlign val="subscript"/>
      <sz val="10"/>
      <color theme="1"/>
      <name val="Arial"/>
      <family val="2"/>
    </font>
    <font>
      <b/>
      <sz val="10"/>
      <color theme="5"/>
      <name val="Arial"/>
      <family val="2"/>
    </font>
    <font>
      <b/>
      <sz val="11"/>
      <color theme="1"/>
      <name val="Calibri"/>
      <family val="2"/>
      <scheme val="minor"/>
    </font>
    <font>
      <vertAlign val="subscript"/>
      <sz val="10"/>
      <color theme="1"/>
      <name val="Arial"/>
      <family val="2"/>
    </font>
    <font>
      <sz val="10"/>
      <color theme="1"/>
      <name val="Calibri"/>
      <family val="2"/>
    </font>
    <font>
      <vertAlign val="subscript"/>
      <sz val="10"/>
      <color theme="1"/>
      <name val="Calibri"/>
      <family val="2"/>
    </font>
    <font>
      <vertAlign val="superscript"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</font>
    <font>
      <b/>
      <vertAlign val="subscript"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3" fillId="0" borderId="0"/>
  </cellStyleXfs>
  <cellXfs count="152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3" fontId="3" fillId="0" borderId="3" xfId="0" applyNumberFormat="1" applyFont="1" applyBorder="1" applyAlignment="1">
      <alignment horizontal="center"/>
    </xf>
    <xf numFmtId="0" fontId="6" fillId="0" borderId="0" xfId="0" applyFont="1" applyAlignment="1">
      <alignment vertical="center"/>
    </xf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right" vertical="center"/>
    </xf>
    <xf numFmtId="1" fontId="9" fillId="4" borderId="4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165" fontId="3" fillId="0" borderId="10" xfId="0" applyNumberFormat="1" applyFont="1" applyBorder="1" applyAlignment="1">
      <alignment vertical="center"/>
    </xf>
    <xf numFmtId="2" fontId="3" fillId="0" borderId="4" xfId="0" applyNumberFormat="1" applyFont="1" applyBorder="1" applyAlignment="1">
      <alignment vertical="center"/>
    </xf>
    <xf numFmtId="165" fontId="3" fillId="0" borderId="4" xfId="0" applyNumberFormat="1" applyFont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vertical="center"/>
    </xf>
    <xf numFmtId="165" fontId="3" fillId="4" borderId="10" xfId="0" applyNumberFormat="1" applyFont="1" applyFill="1" applyBorder="1" applyAlignment="1">
      <alignment vertical="center"/>
    </xf>
    <xf numFmtId="2" fontId="3" fillId="4" borderId="4" xfId="0" applyNumberFormat="1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165" fontId="3" fillId="4" borderId="4" xfId="0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7" fillId="0" borderId="4" xfId="0" applyFont="1" applyBorder="1" applyAlignment="1">
      <alignment horizontal="right" vertical="center"/>
    </xf>
    <xf numFmtId="2" fontId="11" fillId="0" borderId="10" xfId="0" applyNumberFormat="1" applyFont="1" applyBorder="1" applyAlignment="1">
      <alignment vertical="center"/>
    </xf>
    <xf numFmtId="1" fontId="11" fillId="0" borderId="4" xfId="0" applyNumberFormat="1" applyFont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" fontId="0" fillId="0" borderId="0" xfId="0" applyNumberFormat="1" applyAlignment="1">
      <alignment vertical="center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" fontId="3" fillId="0" borderId="13" xfId="0" applyNumberFormat="1" applyFont="1" applyBorder="1" applyAlignment="1">
      <alignment vertical="center"/>
    </xf>
    <xf numFmtId="1" fontId="1" fillId="0" borderId="13" xfId="0" applyNumberFormat="1" applyFont="1" applyBorder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3" fillId="0" borderId="11" xfId="0" applyFont="1" applyBorder="1" applyAlignment="1">
      <alignment horizontal="center" vertical="center"/>
    </xf>
    <xf numFmtId="1" fontId="3" fillId="0" borderId="11" xfId="0" applyNumberFormat="1" applyFont="1" applyBorder="1" applyAlignment="1">
      <alignment vertical="center"/>
    </xf>
    <xf numFmtId="1" fontId="1" fillId="0" borderId="11" xfId="0" applyNumberFormat="1" applyFont="1" applyBorder="1" applyAlignment="1">
      <alignment horizontal="right" vertical="center"/>
    </xf>
    <xf numFmtId="1" fontId="0" fillId="0" borderId="11" xfId="0" applyNumberForma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1" fontId="5" fillId="0" borderId="0" xfId="0" applyNumberFormat="1" applyFont="1" applyAlignment="1">
      <alignment horizontal="right" vertical="center"/>
    </xf>
    <xf numFmtId="16" fontId="3" fillId="0" borderId="11" xfId="0" quotePrefix="1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right" vertical="center"/>
    </xf>
    <xf numFmtId="1" fontId="0" fillId="0" borderId="4" xfId="0" applyNumberFormat="1" applyBorder="1" applyAlignment="1">
      <alignment vertical="center"/>
    </xf>
    <xf numFmtId="1" fontId="3" fillId="5" borderId="11" xfId="0" applyNumberFormat="1" applyFont="1" applyFill="1" applyBorder="1" applyAlignment="1">
      <alignment vertical="center"/>
    </xf>
    <xf numFmtId="1" fontId="1" fillId="5" borderId="11" xfId="0" applyNumberFormat="1" applyFont="1" applyFill="1" applyBorder="1" applyAlignment="1">
      <alignment horizontal="right" vertical="center"/>
    </xf>
    <xf numFmtId="0" fontId="12" fillId="0" borderId="14" xfId="0" applyFont="1" applyBorder="1"/>
    <xf numFmtId="0" fontId="0" fillId="0" borderId="14" xfId="0" applyBorder="1"/>
    <xf numFmtId="0" fontId="3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14" fontId="3" fillId="0" borderId="14" xfId="0" applyNumberFormat="1" applyFont="1" applyBorder="1" applyAlignment="1">
      <alignment vertical="center"/>
    </xf>
    <xf numFmtId="2" fontId="3" fillId="0" borderId="14" xfId="0" applyNumberFormat="1" applyFont="1" applyBorder="1" applyAlignment="1">
      <alignment vertical="center"/>
    </xf>
    <xf numFmtId="1" fontId="3" fillId="0" borderId="14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right" vertical="center"/>
    </xf>
    <xf numFmtId="2" fontId="3" fillId="0" borderId="16" xfId="0" applyNumberFormat="1" applyFont="1" applyBorder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2" fontId="3" fillId="0" borderId="5" xfId="0" applyNumberFormat="1" applyFont="1" applyBorder="1" applyAlignment="1">
      <alignment vertical="center"/>
    </xf>
    <xf numFmtId="1" fontId="0" fillId="7" borderId="4" xfId="0" applyNumberFormat="1" applyFill="1" applyBorder="1" applyAlignment="1">
      <alignment vertical="center"/>
    </xf>
    <xf numFmtId="1" fontId="1" fillId="7" borderId="4" xfId="0" applyNumberFormat="1" applyFont="1" applyFill="1" applyBorder="1" applyAlignment="1">
      <alignment horizontal="right" vertical="center"/>
    </xf>
    <xf numFmtId="1" fontId="3" fillId="7" borderId="4" xfId="0" applyNumberFormat="1" applyFont="1" applyFill="1" applyBorder="1" applyAlignment="1">
      <alignment horizontal="right" vertical="center"/>
    </xf>
    <xf numFmtId="1" fontId="0" fillId="6" borderId="4" xfId="0" applyNumberFormat="1" applyFill="1" applyBorder="1" applyAlignment="1">
      <alignment vertical="center"/>
    </xf>
    <xf numFmtId="2" fontId="3" fillId="0" borderId="0" xfId="0" applyNumberFormat="1" applyFont="1"/>
    <xf numFmtId="0" fontId="0" fillId="0" borderId="4" xfId="0" applyBorder="1" applyAlignment="1">
      <alignment vertical="center"/>
    </xf>
    <xf numFmtId="165" fontId="0" fillId="0" borderId="4" xfId="0" applyNumberFormat="1" applyBorder="1" applyAlignment="1">
      <alignment vertical="center"/>
    </xf>
    <xf numFmtId="165" fontId="11" fillId="0" borderId="6" xfId="0" applyNumberFormat="1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18" fillId="0" borderId="18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21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65" fontId="18" fillId="0" borderId="27" xfId="0" applyNumberFormat="1" applyFont="1" applyBorder="1" applyAlignment="1">
      <alignment vertical="center"/>
    </xf>
    <xf numFmtId="165" fontId="18" fillId="0" borderId="29" xfId="0" applyNumberFormat="1" applyFont="1" applyBorder="1" applyAlignment="1">
      <alignment vertical="center"/>
    </xf>
    <xf numFmtId="165" fontId="18" fillId="0" borderId="30" xfId="0" applyNumberFormat="1" applyFont="1" applyBorder="1" applyAlignment="1">
      <alignment vertical="center"/>
    </xf>
    <xf numFmtId="165" fontId="18" fillId="0" borderId="28" xfId="0" applyNumberFormat="1" applyFont="1" applyBorder="1" applyAlignment="1">
      <alignment vertical="center"/>
    </xf>
    <xf numFmtId="165" fontId="18" fillId="0" borderId="20" xfId="0" applyNumberFormat="1" applyFont="1" applyBorder="1" applyAlignment="1">
      <alignment vertical="center"/>
    </xf>
    <xf numFmtId="165" fontId="18" fillId="0" borderId="19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14" xfId="0" applyFont="1" applyBorder="1" applyAlignment="1">
      <alignment vertical="center"/>
    </xf>
    <xf numFmtId="165" fontId="18" fillId="0" borderId="0" xfId="0" applyNumberFormat="1" applyFont="1" applyAlignment="1">
      <alignment vertical="center"/>
    </xf>
    <xf numFmtId="165" fontId="18" fillId="0" borderId="14" xfId="0" applyNumberFormat="1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23" xfId="0" applyFont="1" applyBorder="1" applyAlignment="1">
      <alignment vertical="center"/>
    </xf>
    <xf numFmtId="2" fontId="18" fillId="0" borderId="25" xfId="0" applyNumberFormat="1" applyFont="1" applyBorder="1" applyAlignment="1">
      <alignment vertical="center"/>
    </xf>
    <xf numFmtId="2" fontId="18" fillId="0" borderId="22" xfId="0" applyNumberFormat="1" applyFont="1" applyBorder="1" applyAlignment="1">
      <alignment vertical="center"/>
    </xf>
    <xf numFmtId="166" fontId="3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1" fontId="0" fillId="7" borderId="15" xfId="0" applyNumberFormat="1" applyFill="1" applyBorder="1" applyAlignment="1">
      <alignment horizontal="center" vertical="center"/>
    </xf>
    <xf numFmtId="1" fontId="0" fillId="7" borderId="14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/>
    <xf numFmtId="0" fontId="19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0" fontId="23" fillId="0" borderId="0" xfId="1" applyNumberFormat="1" applyFont="1" applyAlignment="1" applyProtection="1">
      <alignment horizontal="left" vertical="top"/>
    </xf>
    <xf numFmtId="3" fontId="23" fillId="0" borderId="0" xfId="1" applyNumberFormat="1" applyFont="1" applyAlignment="1" applyProtection="1">
      <alignment horizontal="left" vertical="top"/>
    </xf>
    <xf numFmtId="0" fontId="21" fillId="8" borderId="4" xfId="0" applyFont="1" applyFill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/>
    </xf>
    <xf numFmtId="165" fontId="22" fillId="0" borderId="4" xfId="0" applyNumberFormat="1" applyFont="1" applyBorder="1" applyAlignment="1">
      <alignment horizontal="center" vertical="center"/>
    </xf>
    <xf numFmtId="165" fontId="22" fillId="4" borderId="4" xfId="0" applyNumberFormat="1" applyFont="1" applyFill="1" applyBorder="1" applyAlignment="1">
      <alignment horizontal="center"/>
    </xf>
    <xf numFmtId="1" fontId="22" fillId="0" borderId="4" xfId="0" applyNumberFormat="1" applyFont="1" applyBorder="1" applyAlignment="1">
      <alignment horizontal="center" vertical="center"/>
    </xf>
    <xf numFmtId="2" fontId="22" fillId="4" borderId="4" xfId="0" applyNumberFormat="1" applyFont="1" applyFill="1" applyBorder="1" applyAlignment="1">
      <alignment horizontal="center" vertical="center"/>
    </xf>
    <xf numFmtId="1" fontId="0" fillId="0" borderId="4" xfId="0" quotePrefix="1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5" fontId="22" fillId="4" borderId="0" xfId="0" applyNumberFormat="1" applyFont="1" applyFill="1" applyAlignment="1">
      <alignment horizontal="center"/>
    </xf>
    <xf numFmtId="3" fontId="0" fillId="0" borderId="4" xfId="0" applyNumberFormat="1" applyBorder="1" applyAlignment="1">
      <alignment horizontal="center" vertical="center"/>
    </xf>
    <xf numFmtId="1" fontId="3" fillId="0" borderId="4" xfId="0" applyNumberFormat="1" applyFont="1" applyBorder="1" applyAlignment="1">
      <alignment vertical="center"/>
    </xf>
  </cellXfs>
  <cellStyles count="2">
    <cellStyle name="Normal" xfId="0" builtinId="0"/>
    <cellStyle name="Normal 2" xfId="1" xr:uid="{FD75F5F1-B91C-427A-9784-BD746C12445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'TGF, TBR y TNR'!$A$1</c:f>
              <c:strCache>
                <c:ptCount val="1"/>
                <c:pt idx="0">
                  <c:v>Puebla 2010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'TGF, TBR y TNR'!$A$4:$A$10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'TGF, TBR y TNR'!$G$4:$G$10</c:f>
              <c:numCache>
                <c:formatCode>0.0000</c:formatCode>
                <c:ptCount val="7"/>
                <c:pt idx="0">
                  <c:v>4.6127297330169452E-2</c:v>
                </c:pt>
                <c:pt idx="1">
                  <c:v>8.7867599500260629E-2</c:v>
                </c:pt>
                <c:pt idx="2">
                  <c:v>8.3653787477553976E-2</c:v>
                </c:pt>
                <c:pt idx="3">
                  <c:v>5.8581007786475216E-2</c:v>
                </c:pt>
                <c:pt idx="4">
                  <c:v>2.9197626928346758E-2</c:v>
                </c:pt>
                <c:pt idx="5">
                  <c:v>7.9990381492682713E-3</c:v>
                </c:pt>
                <c:pt idx="6">
                  <c:v>8.6439746568570911E-4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1-40E8-9087-08B1336FA70F}"/>
            </c:ext>
          </c:extLst>
        </c:ser>
        <c:ser>
          <c:idx val="1"/>
          <c:order val="1"/>
          <c:tx>
            <c:strRef>
              <c:f>'TGF, TBR y TNR'!$A$16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'TGF, TBR y TNR'!$G$19:$G$25</c:f>
              <c:numCache>
                <c:formatCode>General</c:formatCode>
                <c:ptCount val="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1-40E8-9087-08B1336FA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0476184"/>
        <c:axId val="570475200"/>
      </c:lineChart>
      <c:catAx>
        <c:axId val="570476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0475200"/>
        <c:crosses val="autoZero"/>
        <c:auto val="1"/>
        <c:lblAlgn val="ctr"/>
        <c:lblOffset val="100"/>
        <c:noMultiLvlLbl val="0"/>
      </c:catAx>
      <c:valAx>
        <c:axId val="570475200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0476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Puebla</a:t>
            </a:r>
            <a:r>
              <a:rPr lang="es-MX" baseline="0"/>
              <a:t> 2019.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'TGF, TBR y TNR'!$A$32:$A$38</c:f>
              <c:strCache>
                <c:ptCount val="7"/>
                <c:pt idx="0">
                  <c:v>15-19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  <c:pt idx="6">
                  <c:v>45-49</c:v>
                </c:pt>
              </c:strCache>
            </c:strRef>
          </c:cat>
          <c:val>
            <c:numRef>
              <c:f>'TGF, TBR y TNR'!$G$32:$G$38</c:f>
              <c:numCache>
                <c:formatCode>0.0000</c:formatCode>
                <c:ptCount val="7"/>
                <c:pt idx="0">
                  <c:v>4.3094238840137356E-2</c:v>
                </c:pt>
                <c:pt idx="1">
                  <c:v>7.6213747849240773E-2</c:v>
                </c:pt>
                <c:pt idx="2">
                  <c:v>7.2391179633045796E-2</c:v>
                </c:pt>
                <c:pt idx="3">
                  <c:v>5.1049885249083708E-2</c:v>
                </c:pt>
                <c:pt idx="4">
                  <c:v>2.6322846655381055E-2</c:v>
                </c:pt>
                <c:pt idx="5">
                  <c:v>6.7643844771374641E-3</c:v>
                </c:pt>
                <c:pt idx="6">
                  <c:v>4.7890331141685539E-4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89-4EFA-9E7F-927013B81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0570816"/>
        <c:axId val="280572064"/>
      </c:lineChart>
      <c:catAx>
        <c:axId val="28057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0572064"/>
        <c:crosses val="autoZero"/>
        <c:auto val="1"/>
        <c:lblAlgn val="ctr"/>
        <c:lblOffset val="100"/>
        <c:noMultiLvlLbl val="0"/>
      </c:catAx>
      <c:valAx>
        <c:axId val="280572064"/>
        <c:scaling>
          <c:orientation val="minMax"/>
          <c:max val="8.0000000000000016E-2"/>
          <c:min val="-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8057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219075</xdr:colOff>
      <xdr:row>3</xdr:row>
      <xdr:rowOff>19050</xdr:rowOff>
    </xdr:from>
    <xdr:ext cx="169277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5712D43-30A1-477F-B5C1-CD03484BADC0}"/>
                </a:ext>
              </a:extLst>
            </xdr:cNvPr>
            <xdr:cNvSpPr txBox="1"/>
          </xdr:nvSpPr>
          <xdr:spPr>
            <a:xfrm>
              <a:off x="7557135" y="36957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5712D43-30A1-477F-B5C1-CD03484BADC0}"/>
                </a:ext>
              </a:extLst>
            </xdr:cNvPr>
            <xdr:cNvSpPr txBox="1"/>
          </xdr:nvSpPr>
          <xdr:spPr>
            <a:xfrm>
              <a:off x="7557135" y="36957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𝑒_𝑥^0</a:t>
              </a:r>
              <a:endParaRPr lang="en-US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219075</xdr:colOff>
      <xdr:row>3</xdr:row>
      <xdr:rowOff>19050</xdr:rowOff>
    </xdr:from>
    <xdr:ext cx="169277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301274B-65C7-4035-A91F-857379A2E383}"/>
                </a:ext>
              </a:extLst>
            </xdr:cNvPr>
            <xdr:cNvSpPr txBox="1"/>
          </xdr:nvSpPr>
          <xdr:spPr>
            <a:xfrm>
              <a:off x="7168515" y="36957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sz="110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b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sub>
                      <m:sup>
                        <m:r>
                          <a:rPr lang="en-US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0</m:t>
                        </m:r>
                      </m:sup>
                    </m:sSubSup>
                  </m:oMath>
                </m:oMathPara>
              </a14:m>
              <a:endParaRPr lang="en-US" sz="1100">
                <a:solidFill>
                  <a:schemeClr val="bg1"/>
                </a:solidFill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301274B-65C7-4035-A91F-857379A2E383}"/>
                </a:ext>
              </a:extLst>
            </xdr:cNvPr>
            <xdr:cNvSpPr txBox="1"/>
          </xdr:nvSpPr>
          <xdr:spPr>
            <a:xfrm>
              <a:off x="7168515" y="369570"/>
              <a:ext cx="169277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𝑒_𝑥^0</a:t>
              </a:r>
              <a:endParaRPr lang="en-US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11</xdr:row>
          <xdr:rowOff>60960</xdr:rowOff>
        </xdr:from>
        <xdr:to>
          <xdr:col>4</xdr:col>
          <xdr:colOff>838200</xdr:colOff>
          <xdr:row>13</xdr:row>
          <xdr:rowOff>152400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5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361950</xdr:colOff>
      <xdr:row>2</xdr:row>
      <xdr:rowOff>252412</xdr:rowOff>
    </xdr:from>
    <xdr:to>
      <xdr:col>18</xdr:col>
      <xdr:colOff>361950</xdr:colOff>
      <xdr:row>17</xdr:row>
      <xdr:rowOff>242887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39</xdr:row>
          <xdr:rowOff>60960</xdr:rowOff>
        </xdr:from>
        <xdr:to>
          <xdr:col>4</xdr:col>
          <xdr:colOff>838200</xdr:colOff>
          <xdr:row>41</xdr:row>
          <xdr:rowOff>152400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A1103294-282D-4C05-A13F-DC28182319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565547</xdr:colOff>
      <xdr:row>29</xdr:row>
      <xdr:rowOff>39291</xdr:rowOff>
    </xdr:from>
    <xdr:to>
      <xdr:col>18</xdr:col>
      <xdr:colOff>422672</xdr:colOff>
      <xdr:row>43</xdr:row>
      <xdr:rowOff>32147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A2927B8-A55F-4573-BD55-46E43C360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zoomScale="67" zoomScaleNormal="100" workbookViewId="0">
      <selection activeCell="I38" sqref="I38"/>
    </sheetView>
  </sheetViews>
  <sheetFormatPr baseColWidth="10" defaultColWidth="11.44140625" defaultRowHeight="14.4" x14ac:dyDescent="0.3"/>
  <cols>
    <col min="1" max="4" width="10.44140625" style="43" customWidth="1"/>
    <col min="5" max="5" width="2.77734375" style="43" customWidth="1"/>
    <col min="6" max="9" width="10.44140625" style="43" customWidth="1"/>
    <col min="10" max="10" width="4" style="43" customWidth="1"/>
    <col min="11" max="11" width="10.109375" style="43" bestFit="1" customWidth="1"/>
    <col min="12" max="15" width="10.44140625" style="43" customWidth="1"/>
    <col min="16" max="16" width="15.33203125" bestFit="1" customWidth="1"/>
    <col min="22" max="22" width="14.109375" bestFit="1" customWidth="1"/>
  </cols>
  <sheetData>
    <row r="1" spans="1:18" s="10" customFormat="1" ht="28.5" customHeight="1" x14ac:dyDescent="0.3">
      <c r="A1" s="120" t="s">
        <v>57</v>
      </c>
      <c r="B1" s="120"/>
      <c r="C1" s="120"/>
      <c r="D1" s="120"/>
      <c r="E1" s="9"/>
      <c r="F1" s="120" t="s">
        <v>60</v>
      </c>
      <c r="G1" s="120"/>
      <c r="H1" s="120"/>
      <c r="I1" s="120"/>
      <c r="J1" s="11"/>
      <c r="L1" s="120" t="s">
        <v>77</v>
      </c>
      <c r="M1" s="120"/>
      <c r="N1" s="120"/>
      <c r="O1" s="120"/>
    </row>
    <row r="2" spans="1:18" x14ac:dyDescent="0.3">
      <c r="E2" s="50"/>
      <c r="L2" s="11"/>
      <c r="M2" s="11"/>
      <c r="N2" s="51"/>
      <c r="O2" s="51"/>
    </row>
    <row r="3" spans="1:18" ht="33" customHeight="1" x14ac:dyDescent="0.3">
      <c r="A3" s="52"/>
      <c r="E3" s="50"/>
      <c r="F3" s="19"/>
      <c r="L3" s="49" t="s">
        <v>0</v>
      </c>
      <c r="M3" s="18" t="s">
        <v>58</v>
      </c>
      <c r="N3" s="81" t="s">
        <v>1</v>
      </c>
      <c r="P3" s="121" t="s">
        <v>76</v>
      </c>
      <c r="Q3" s="121"/>
      <c r="R3" s="121"/>
    </row>
    <row r="4" spans="1:18" x14ac:dyDescent="0.3">
      <c r="L4" s="45" t="s">
        <v>2</v>
      </c>
      <c r="M4" s="139">
        <v>14203</v>
      </c>
      <c r="N4" s="67">
        <v>307908.78334661416</v>
      </c>
      <c r="P4" s="43"/>
      <c r="Q4" s="43"/>
      <c r="R4" s="43"/>
    </row>
    <row r="5" spans="1:18" ht="15" customHeight="1" x14ac:dyDescent="0.3">
      <c r="A5" s="124" t="s">
        <v>0</v>
      </c>
      <c r="B5" s="123" t="s">
        <v>58</v>
      </c>
      <c r="C5" s="123"/>
      <c r="D5" s="123"/>
      <c r="E5" s="50"/>
      <c r="F5" s="124" t="s">
        <v>0</v>
      </c>
      <c r="G5" s="123" t="s">
        <v>59</v>
      </c>
      <c r="H5" s="123"/>
      <c r="I5" s="123"/>
      <c r="J5" s="53"/>
      <c r="L5" s="45" t="s">
        <v>3</v>
      </c>
      <c r="M5" s="139">
        <v>23995</v>
      </c>
      <c r="N5" s="67">
        <v>273081.31935399951</v>
      </c>
      <c r="P5" s="17" t="s">
        <v>4</v>
      </c>
      <c r="Q5" s="17" t="s">
        <v>5</v>
      </c>
      <c r="R5" s="17" t="s">
        <v>6</v>
      </c>
    </row>
    <row r="6" spans="1:18" x14ac:dyDescent="0.3">
      <c r="A6" s="124"/>
      <c r="B6" s="18" t="s">
        <v>4</v>
      </c>
      <c r="C6" s="18" t="s">
        <v>5</v>
      </c>
      <c r="D6" s="18" t="s">
        <v>6</v>
      </c>
      <c r="E6" s="50"/>
      <c r="F6" s="124"/>
      <c r="G6" s="18" t="s">
        <v>4</v>
      </c>
      <c r="H6" s="18" t="s">
        <v>5</v>
      </c>
      <c r="I6" s="18" t="s">
        <v>6</v>
      </c>
      <c r="J6" s="53"/>
      <c r="L6" s="45" t="s">
        <v>7</v>
      </c>
      <c r="M6" s="139">
        <v>20094</v>
      </c>
      <c r="N6" s="67">
        <v>240204.30641459755</v>
      </c>
      <c r="P6" s="62">
        <v>41132</v>
      </c>
      <c r="Q6" s="62">
        <f>39110</f>
        <v>39110</v>
      </c>
      <c r="R6" s="62">
        <v>80299</v>
      </c>
    </row>
    <row r="7" spans="1:18" x14ac:dyDescent="0.3">
      <c r="A7" s="54" t="s">
        <v>8</v>
      </c>
      <c r="B7" s="55">
        <f xml:space="preserve"> 54889 + 239158</f>
        <v>294047</v>
      </c>
      <c r="C7" s="55">
        <f>52963+232162</f>
        <v>285125</v>
      </c>
      <c r="D7" s="55">
        <f>107852+471309</f>
        <v>579161</v>
      </c>
      <c r="E7" s="50"/>
      <c r="F7" s="54" t="s">
        <v>8</v>
      </c>
      <c r="G7" s="56">
        <f>63812+62704</f>
        <v>126516</v>
      </c>
      <c r="H7" s="56">
        <f>61523+60517</f>
        <v>122040</v>
      </c>
      <c r="I7" s="56">
        <f>G7+H7</f>
        <v>248556</v>
      </c>
      <c r="J7" s="57"/>
      <c r="L7" s="45" t="s">
        <v>9</v>
      </c>
      <c r="M7" s="139">
        <v>13457</v>
      </c>
      <c r="N7" s="67">
        <v>229716.0890275237</v>
      </c>
      <c r="P7" s="42"/>
      <c r="Q7" s="42"/>
      <c r="R7" s="42"/>
    </row>
    <row r="8" spans="1:18" x14ac:dyDescent="0.3">
      <c r="A8" s="64" t="s">
        <v>10</v>
      </c>
      <c r="B8" s="59">
        <v>317391.3471723111</v>
      </c>
      <c r="C8" s="59">
        <v>309188.89304406429</v>
      </c>
      <c r="D8" s="59">
        <v>626565.40484982473</v>
      </c>
      <c r="E8" s="50"/>
      <c r="F8" s="64" t="s">
        <v>10</v>
      </c>
      <c r="G8" s="60">
        <v>313806</v>
      </c>
      <c r="H8" s="60">
        <v>303890</v>
      </c>
      <c r="I8" s="56">
        <f t="shared" ref="I8:I24" si="0">G8+H8</f>
        <v>617696</v>
      </c>
      <c r="J8" s="57"/>
      <c r="L8" s="45" t="s">
        <v>11</v>
      </c>
      <c r="M8" s="139">
        <v>6257</v>
      </c>
      <c r="N8" s="67">
        <v>214298.23784498527</v>
      </c>
      <c r="P8" s="88" t="s">
        <v>12</v>
      </c>
      <c r="Q8" s="89">
        <f>Q6/R6</f>
        <v>0.4870546333080113</v>
      </c>
      <c r="R8" s="43"/>
    </row>
    <row r="9" spans="1:18" x14ac:dyDescent="0.3">
      <c r="A9" s="64" t="s">
        <v>13</v>
      </c>
      <c r="B9" s="59">
        <v>308838.2443848158</v>
      </c>
      <c r="C9" s="59">
        <v>302045.31558416109</v>
      </c>
      <c r="D9" s="59">
        <v>610869.60746437253</v>
      </c>
      <c r="E9" s="50"/>
      <c r="F9" s="64" t="s">
        <v>13</v>
      </c>
      <c r="G9" s="60">
        <v>318723</v>
      </c>
      <c r="H9" s="60">
        <v>311088</v>
      </c>
      <c r="I9" s="56">
        <f>G9+H9</f>
        <v>629811</v>
      </c>
      <c r="J9" s="57"/>
      <c r="L9" s="45" t="s">
        <v>14</v>
      </c>
      <c r="M9" s="139">
        <v>1432</v>
      </c>
      <c r="N9" s="67">
        <v>179021.5239979816</v>
      </c>
    </row>
    <row r="10" spans="1:18" x14ac:dyDescent="0.3">
      <c r="A10" s="58" t="s">
        <v>2</v>
      </c>
      <c r="B10" s="59">
        <v>302210.97903535544</v>
      </c>
      <c r="C10" s="67">
        <v>307908.78334661416</v>
      </c>
      <c r="D10" s="59">
        <v>610111.12706822855</v>
      </c>
      <c r="E10" s="50"/>
      <c r="F10" s="58" t="s">
        <v>2</v>
      </c>
      <c r="G10" s="60">
        <v>317441</v>
      </c>
      <c r="H10" s="68">
        <v>314520</v>
      </c>
      <c r="I10" s="56">
        <f t="shared" si="0"/>
        <v>631961</v>
      </c>
      <c r="J10" s="57"/>
      <c r="L10" s="46" t="s">
        <v>15</v>
      </c>
      <c r="M10" s="138">
        <v>131</v>
      </c>
      <c r="N10" s="67">
        <v>151550.65256476699</v>
      </c>
    </row>
    <row r="11" spans="1:18" x14ac:dyDescent="0.3">
      <c r="A11" s="58" t="s">
        <v>3</v>
      </c>
      <c r="B11" s="59">
        <v>243697.24772683289</v>
      </c>
      <c r="C11" s="67">
        <v>273081.31935399951</v>
      </c>
      <c r="D11" s="59">
        <v>516781.67976160417</v>
      </c>
      <c r="E11" s="50"/>
      <c r="F11" s="58" t="s">
        <v>3</v>
      </c>
      <c r="G11" s="60">
        <v>302389</v>
      </c>
      <c r="H11" s="68">
        <v>305706</v>
      </c>
      <c r="I11" s="56">
        <f t="shared" si="0"/>
        <v>608095</v>
      </c>
      <c r="J11" s="57"/>
      <c r="L11" s="16" t="s">
        <v>6</v>
      </c>
      <c r="M11" s="85">
        <f>SUM(M4:M10)</f>
        <v>79569</v>
      </c>
      <c r="N11" s="86">
        <f>SUM(N4:N10)</f>
        <v>1595780.9125504687</v>
      </c>
    </row>
    <row r="12" spans="1:18" x14ac:dyDescent="0.3">
      <c r="A12" s="58" t="s">
        <v>7</v>
      </c>
      <c r="B12" s="59">
        <v>205745.31697655379</v>
      </c>
      <c r="C12" s="67">
        <v>240204.30641459755</v>
      </c>
      <c r="D12" s="59">
        <v>445956.17411527486</v>
      </c>
      <c r="E12" s="50"/>
      <c r="F12" s="58" t="s">
        <v>7</v>
      </c>
      <c r="G12" s="60">
        <v>277285</v>
      </c>
      <c r="H12" s="68">
        <v>291099</v>
      </c>
      <c r="I12" s="56">
        <f t="shared" si="0"/>
        <v>568384</v>
      </c>
      <c r="J12" s="57"/>
      <c r="L12" s="42" t="s">
        <v>16</v>
      </c>
    </row>
    <row r="13" spans="1:18" x14ac:dyDescent="0.3">
      <c r="A13" s="58" t="s">
        <v>9</v>
      </c>
      <c r="B13" s="59">
        <v>194957.19193673242</v>
      </c>
      <c r="C13" s="67">
        <v>229716.0890275237</v>
      </c>
      <c r="D13" s="59">
        <v>424680.3445211731</v>
      </c>
      <c r="E13" s="50"/>
      <c r="F13" s="58" t="s">
        <v>9</v>
      </c>
      <c r="G13" s="60">
        <v>234851</v>
      </c>
      <c r="H13" s="68">
        <v>262743</v>
      </c>
      <c r="I13" s="56">
        <f t="shared" si="0"/>
        <v>497594</v>
      </c>
      <c r="J13" s="57"/>
      <c r="M13" s="44"/>
    </row>
    <row r="14" spans="1:18" x14ac:dyDescent="0.3">
      <c r="A14" s="58" t="s">
        <v>11</v>
      </c>
      <c r="B14" s="59">
        <v>184591.41739486417</v>
      </c>
      <c r="C14" s="67">
        <v>214298.23784498527</v>
      </c>
      <c r="D14" s="59">
        <v>398895.04093401792</v>
      </c>
      <c r="E14" s="50"/>
      <c r="F14" s="58" t="s">
        <v>11</v>
      </c>
      <c r="G14" s="60">
        <v>195551</v>
      </c>
      <c r="H14" s="68">
        <v>238652</v>
      </c>
      <c r="I14" s="56">
        <f t="shared" si="0"/>
        <v>434203</v>
      </c>
      <c r="J14" s="57"/>
      <c r="K14" s="122" t="s">
        <v>17</v>
      </c>
      <c r="L14" s="122"/>
      <c r="M14" s="122"/>
      <c r="N14" s="122"/>
      <c r="O14" s="122"/>
      <c r="P14" s="122"/>
      <c r="Q14" s="122"/>
      <c r="R14" s="122"/>
    </row>
    <row r="15" spans="1:18" ht="15" thickBot="1" x14ac:dyDescent="0.35">
      <c r="A15" s="58" t="s">
        <v>14</v>
      </c>
      <c r="B15" s="59">
        <v>152801.96436471902</v>
      </c>
      <c r="C15" s="67">
        <v>179021.5239979816</v>
      </c>
      <c r="D15" s="59">
        <v>331828.60856924404</v>
      </c>
      <c r="E15" s="50"/>
      <c r="F15" s="58" t="s">
        <v>14</v>
      </c>
      <c r="G15" s="60">
        <v>178592</v>
      </c>
      <c r="H15" s="68">
        <v>221454</v>
      </c>
      <c r="I15" s="56">
        <f t="shared" si="0"/>
        <v>400046</v>
      </c>
      <c r="J15" s="57"/>
      <c r="K15" s="69" t="s">
        <v>2</v>
      </c>
      <c r="L15" s="70"/>
      <c r="M15" s="70"/>
      <c r="N15" s="70"/>
      <c r="O15"/>
      <c r="P15" s="70"/>
      <c r="Q15" s="70"/>
      <c r="R15" s="70"/>
    </row>
    <row r="16" spans="1:18" ht="16.8" thickBot="1" x14ac:dyDescent="0.35">
      <c r="A16" s="58" t="s">
        <v>15</v>
      </c>
      <c r="B16" s="59">
        <v>130653.82341942687</v>
      </c>
      <c r="C16" s="67">
        <v>151550.65256476699</v>
      </c>
      <c r="D16" s="59">
        <v>282208.23527636385</v>
      </c>
      <c r="E16" s="50"/>
      <c r="F16" s="58" t="s">
        <v>15</v>
      </c>
      <c r="G16" s="60">
        <v>168120</v>
      </c>
      <c r="H16" s="68">
        <v>200458</v>
      </c>
      <c r="I16" s="56">
        <f t="shared" si="0"/>
        <v>368578</v>
      </c>
      <c r="J16" s="57"/>
      <c r="K16" s="71" t="s">
        <v>18</v>
      </c>
      <c r="L16" s="71" t="s">
        <v>19</v>
      </c>
      <c r="M16" s="71" t="s">
        <v>20</v>
      </c>
      <c r="N16" s="71" t="s">
        <v>21</v>
      </c>
      <c r="O16"/>
      <c r="P16" s="71" t="s">
        <v>19</v>
      </c>
      <c r="Q16" s="72" t="s">
        <v>22</v>
      </c>
      <c r="R16" s="73" t="s">
        <v>23</v>
      </c>
    </row>
    <row r="17" spans="1:18" x14ac:dyDescent="0.3">
      <c r="A17" s="58" t="s">
        <v>24</v>
      </c>
      <c r="B17" s="59">
        <v>111525.79165686639</v>
      </c>
      <c r="C17" s="59">
        <v>130881.12106193228</v>
      </c>
      <c r="D17" s="59">
        <v>242410.73859186849</v>
      </c>
      <c r="E17" s="50"/>
      <c r="F17" s="58" t="s">
        <v>24</v>
      </c>
      <c r="G17" s="60">
        <v>145806</v>
      </c>
      <c r="H17" s="60">
        <v>169598</v>
      </c>
      <c r="I17" s="56">
        <f t="shared" si="0"/>
        <v>315404</v>
      </c>
      <c r="J17" s="57"/>
      <c r="K17" s="74">
        <v>40186</v>
      </c>
      <c r="L17" s="75">
        <f>2010+7/12+1/365</f>
        <v>2010.5860730593606</v>
      </c>
      <c r="M17" s="48">
        <f>C10</f>
        <v>307908.78334661416</v>
      </c>
      <c r="N17" s="114">
        <f>LN(M18/M17)/L19</f>
        <v>2.3390924229952487E-3</v>
      </c>
      <c r="O17"/>
      <c r="P17" s="116">
        <f>2010+6/12+0/365</f>
        <v>2010.5</v>
      </c>
      <c r="Q17" s="116">
        <f>P17-L17</f>
        <v>-8.6073059360614934E-2</v>
      </c>
      <c r="R17" s="118">
        <f>M17*EXP($N$17*Q17)</f>
        <v>307846.79743661109</v>
      </c>
    </row>
    <row r="18" spans="1:18" ht="15" thickBot="1" x14ac:dyDescent="0.35">
      <c r="A18" s="58" t="s">
        <v>25</v>
      </c>
      <c r="B18" s="59">
        <v>89125.048739114252</v>
      </c>
      <c r="C18" s="59">
        <v>101673.82322523641</v>
      </c>
      <c r="D18" s="59">
        <v>190800.74295490878</v>
      </c>
      <c r="E18" s="50"/>
      <c r="F18" s="58" t="s">
        <v>25</v>
      </c>
      <c r="G18" s="60">
        <v>122143</v>
      </c>
      <c r="H18" s="60">
        <v>141335</v>
      </c>
      <c r="I18" s="56">
        <f t="shared" si="0"/>
        <v>263478</v>
      </c>
      <c r="J18" s="57"/>
      <c r="K18" s="76">
        <v>43708</v>
      </c>
      <c r="L18" s="77">
        <f>2019+7/12+31/365</f>
        <v>2019.6682648401825</v>
      </c>
      <c r="M18" s="78">
        <f>H10</f>
        <v>314520</v>
      </c>
      <c r="N18" s="115"/>
      <c r="O18"/>
      <c r="P18" s="117"/>
      <c r="Q18" s="117"/>
      <c r="R18" s="119"/>
    </row>
    <row r="19" spans="1:18" ht="15.6" thickBot="1" x14ac:dyDescent="0.35">
      <c r="A19" s="58" t="s">
        <v>27</v>
      </c>
      <c r="B19" s="59">
        <v>69759.571122441383</v>
      </c>
      <c r="C19" s="59">
        <v>82302.573324074314</v>
      </c>
      <c r="D19" s="59">
        <v>152064.71484078278</v>
      </c>
      <c r="E19" s="50"/>
      <c r="F19" s="58" t="s">
        <v>27</v>
      </c>
      <c r="G19" s="60">
        <v>96456</v>
      </c>
      <c r="H19" s="60">
        <v>112369</v>
      </c>
      <c r="I19" s="56">
        <f t="shared" si="0"/>
        <v>208825</v>
      </c>
      <c r="J19" s="57"/>
      <c r="K19" s="79" t="s">
        <v>22</v>
      </c>
      <c r="L19" s="80">
        <f>L18-L17</f>
        <v>9.0821917808218586</v>
      </c>
      <c r="O19"/>
    </row>
    <row r="20" spans="1:18" x14ac:dyDescent="0.3">
      <c r="A20" s="58" t="s">
        <v>28</v>
      </c>
      <c r="B20" s="61">
        <v>53939.614791216969</v>
      </c>
      <c r="C20" s="59">
        <v>63203.90198624941</v>
      </c>
      <c r="D20" s="59">
        <v>117145.327761315</v>
      </c>
      <c r="E20" s="50"/>
      <c r="F20" s="58" t="s">
        <v>28</v>
      </c>
      <c r="G20" s="60">
        <v>71907</v>
      </c>
      <c r="H20" s="60">
        <v>85111</v>
      </c>
      <c r="I20" s="56">
        <f t="shared" si="0"/>
        <v>157018</v>
      </c>
      <c r="J20" s="57"/>
      <c r="N20"/>
      <c r="O20"/>
    </row>
    <row r="21" spans="1:18" ht="15" thickBot="1" x14ac:dyDescent="0.35">
      <c r="A21" s="58" t="s">
        <v>29</v>
      </c>
      <c r="B21" s="59">
        <v>43859.785682173424</v>
      </c>
      <c r="C21" s="59">
        <v>53785.807847832635</v>
      </c>
      <c r="D21" s="59">
        <v>97648.038749915868</v>
      </c>
      <c r="E21" s="50"/>
      <c r="F21" s="58" t="s">
        <v>29</v>
      </c>
      <c r="G21" s="60">
        <v>55098</v>
      </c>
      <c r="H21" s="60">
        <v>66369</v>
      </c>
      <c r="I21" s="56">
        <f t="shared" si="0"/>
        <v>121467</v>
      </c>
      <c r="J21" s="57"/>
      <c r="K21" s="69" t="s">
        <v>3</v>
      </c>
      <c r="L21" s="70"/>
      <c r="M21" s="70"/>
      <c r="N21" s="70"/>
      <c r="O21"/>
      <c r="P21" s="70"/>
      <c r="Q21" s="70"/>
      <c r="R21" s="70"/>
    </row>
    <row r="22" spans="1:18" ht="14.55" customHeight="1" thickBot="1" x14ac:dyDescent="0.35">
      <c r="A22" s="58" t="s">
        <v>30</v>
      </c>
      <c r="B22" s="59">
        <v>30552.71377298102</v>
      </c>
      <c r="C22" s="59">
        <v>37132.267178165661</v>
      </c>
      <c r="D22" s="59">
        <v>67686.548161355036</v>
      </c>
      <c r="F22" s="58" t="s">
        <v>30</v>
      </c>
      <c r="G22" s="60">
        <v>39389</v>
      </c>
      <c r="H22" s="60">
        <v>48885</v>
      </c>
      <c r="I22" s="56">
        <f t="shared" si="0"/>
        <v>88274</v>
      </c>
      <c r="J22" s="57"/>
      <c r="K22" s="71" t="s">
        <v>18</v>
      </c>
      <c r="L22" s="71" t="s">
        <v>19</v>
      </c>
      <c r="M22" s="71" t="s">
        <v>20</v>
      </c>
      <c r="N22" s="71" t="s">
        <v>21</v>
      </c>
      <c r="O22"/>
      <c r="P22" s="71" t="s">
        <v>19</v>
      </c>
      <c r="Q22" s="72" t="s">
        <v>22</v>
      </c>
      <c r="R22" s="73" t="s">
        <v>23</v>
      </c>
    </row>
    <row r="23" spans="1:18" x14ac:dyDescent="0.3">
      <c r="A23" s="58" t="s">
        <v>31</v>
      </c>
      <c r="B23" s="59">
        <v>19166.427262374396</v>
      </c>
      <c r="C23" s="59">
        <v>24631.006623335034</v>
      </c>
      <c r="D23" s="59">
        <v>43798.960505431052</v>
      </c>
      <c r="F23" s="58" t="s">
        <v>31</v>
      </c>
      <c r="G23" s="60">
        <v>25268</v>
      </c>
      <c r="H23" s="60">
        <v>32500</v>
      </c>
      <c r="I23" s="56">
        <f t="shared" si="0"/>
        <v>57768</v>
      </c>
      <c r="J23" s="57"/>
      <c r="K23" s="74">
        <f>K17</f>
        <v>40186</v>
      </c>
      <c r="L23" s="75">
        <f>L17</f>
        <v>2010.5860730593606</v>
      </c>
      <c r="M23" s="48">
        <f>C11</f>
        <v>273081.31935399951</v>
      </c>
      <c r="N23" s="114">
        <f>LN(M24/M23)/L25</f>
        <v>1.2425880733625506E-2</v>
      </c>
      <c r="O23"/>
      <c r="P23" s="116">
        <f>P17</f>
        <v>2010.5</v>
      </c>
      <c r="Q23" s="116">
        <f>P23-L23</f>
        <v>-8.6073059360614934E-2</v>
      </c>
      <c r="R23" s="118">
        <f>M23*EXP($N$23*Q23)</f>
        <v>272789.4058490856</v>
      </c>
    </row>
    <row r="24" spans="1:18" ht="15" thickBot="1" x14ac:dyDescent="0.35">
      <c r="A24" s="58" t="s">
        <v>32</v>
      </c>
      <c r="B24" s="59">
        <v>16991.019075548938</v>
      </c>
      <c r="C24" s="59">
        <v>24223.14832856385</v>
      </c>
      <c r="D24" s="59">
        <v>41216.491300450602</v>
      </c>
      <c r="F24" s="58" t="s">
        <v>32</v>
      </c>
      <c r="G24" s="60">
        <v>23086</v>
      </c>
      <c r="H24" s="60">
        <v>30499</v>
      </c>
      <c r="I24" s="56">
        <f t="shared" si="0"/>
        <v>53585</v>
      </c>
      <c r="J24" s="57"/>
      <c r="K24" s="76">
        <f>K18</f>
        <v>43708</v>
      </c>
      <c r="L24" s="77">
        <f>L18</f>
        <v>2019.6682648401825</v>
      </c>
      <c r="M24" s="78">
        <f>H11</f>
        <v>305706</v>
      </c>
      <c r="N24" s="115"/>
      <c r="O24"/>
      <c r="P24" s="117"/>
      <c r="Q24" s="117"/>
      <c r="R24" s="119"/>
    </row>
    <row r="25" spans="1:18" ht="15.6" thickBot="1" x14ac:dyDescent="0.35">
      <c r="A25" s="58"/>
      <c r="B25" s="61"/>
      <c r="C25" s="61"/>
      <c r="D25" s="61"/>
      <c r="F25" s="58"/>
      <c r="G25" s="60"/>
      <c r="H25" s="60"/>
      <c r="I25" s="60"/>
      <c r="J25" s="57"/>
      <c r="K25" s="79" t="s">
        <v>22</v>
      </c>
      <c r="L25" s="80">
        <f>L24-L23</f>
        <v>9.0821917808218586</v>
      </c>
      <c r="O25"/>
    </row>
    <row r="26" spans="1:18" x14ac:dyDescent="0.3">
      <c r="A26" s="8" t="s">
        <v>33</v>
      </c>
      <c r="B26" s="66">
        <f>SUM(B7:B25)</f>
        <v>2769854.5045143277</v>
      </c>
      <c r="C26" s="66">
        <f>SUM(C7:C25)</f>
        <v>3009973.770754084</v>
      </c>
      <c r="D26" s="83">
        <f>SUM(D7:D25)</f>
        <v>5779828.7854261305</v>
      </c>
      <c r="F26" s="8" t="s">
        <v>33</v>
      </c>
      <c r="G26" s="65">
        <f>SUM(G7:G24)</f>
        <v>3012427</v>
      </c>
      <c r="H26" s="65">
        <f>SUM(H7:H24)</f>
        <v>3258316</v>
      </c>
      <c r="I26" s="84">
        <f>SUM(I7:I24)</f>
        <v>6270743</v>
      </c>
      <c r="J26" s="63"/>
      <c r="N26"/>
      <c r="O26"/>
    </row>
    <row r="27" spans="1:18" ht="15" thickBot="1" x14ac:dyDescent="0.35">
      <c r="A27" s="47"/>
      <c r="B27" s="47"/>
      <c r="C27" s="47"/>
      <c r="K27" s="69" t="s">
        <v>7</v>
      </c>
      <c r="L27" s="70"/>
      <c r="M27" s="70"/>
      <c r="N27" s="70"/>
      <c r="O27"/>
      <c r="P27" s="70"/>
      <c r="Q27" s="70"/>
      <c r="R27" s="70"/>
    </row>
    <row r="28" spans="1:18" ht="16.8" thickBot="1" x14ac:dyDescent="0.35">
      <c r="K28" s="71" t="s">
        <v>18</v>
      </c>
      <c r="L28" s="71" t="s">
        <v>19</v>
      </c>
      <c r="M28" s="71" t="s">
        <v>20</v>
      </c>
      <c r="N28" s="71" t="s">
        <v>21</v>
      </c>
      <c r="O28"/>
      <c r="P28" s="71" t="s">
        <v>19</v>
      </c>
      <c r="Q28" s="72" t="s">
        <v>22</v>
      </c>
      <c r="R28" s="73" t="s">
        <v>23</v>
      </c>
    </row>
    <row r="29" spans="1:18" x14ac:dyDescent="0.3">
      <c r="A29" s="122" t="s">
        <v>34</v>
      </c>
      <c r="B29" s="122"/>
      <c r="C29" s="122"/>
      <c r="D29" s="122"/>
      <c r="E29" s="122"/>
      <c r="F29" s="122"/>
      <c r="G29" s="122"/>
      <c r="H29" s="122"/>
      <c r="K29" s="74">
        <f>K23</f>
        <v>40186</v>
      </c>
      <c r="L29" s="75">
        <f>L23</f>
        <v>2010.5860730593606</v>
      </c>
      <c r="M29" s="48">
        <f>C12</f>
        <v>240204.30641459755</v>
      </c>
      <c r="N29" s="114">
        <f>LN(M30/M29)/L31</f>
        <v>2.1159383351374059E-2</v>
      </c>
      <c r="O29"/>
      <c r="P29" s="116">
        <f>P23</f>
        <v>2010.5</v>
      </c>
      <c r="Q29" s="116">
        <f>P29-L29</f>
        <v>-8.6073059360614934E-2</v>
      </c>
      <c r="R29" s="118">
        <f>M29*EXP($N$29*Q29)</f>
        <v>239767.23176727784</v>
      </c>
    </row>
    <row r="30" spans="1:18" ht="15" thickBot="1" x14ac:dyDescent="0.35">
      <c r="A30" s="69" t="s">
        <v>2</v>
      </c>
      <c r="B30" s="70"/>
      <c r="C30" s="70"/>
      <c r="D30" s="70"/>
      <c r="E30"/>
      <c r="F30" s="70"/>
      <c r="G30" s="70"/>
      <c r="H30" s="70"/>
      <c r="K30" s="76">
        <f>K24</f>
        <v>43708</v>
      </c>
      <c r="L30" s="77">
        <f>L24</f>
        <v>2019.6682648401825</v>
      </c>
      <c r="M30" s="78">
        <f>H12</f>
        <v>291099</v>
      </c>
      <c r="N30" s="115"/>
      <c r="O30"/>
      <c r="P30" s="117"/>
      <c r="Q30" s="117"/>
      <c r="R30" s="119"/>
    </row>
    <row r="31" spans="1:18" ht="16.8" thickBot="1" x14ac:dyDescent="0.35">
      <c r="A31" s="71" t="s">
        <v>18</v>
      </c>
      <c r="B31" s="71" t="s">
        <v>19</v>
      </c>
      <c r="C31" s="71" t="s">
        <v>20</v>
      </c>
      <c r="D31" s="71" t="s">
        <v>21</v>
      </c>
      <c r="E31"/>
      <c r="F31" s="71" t="s">
        <v>19</v>
      </c>
      <c r="G31" s="72" t="s">
        <v>22</v>
      </c>
      <c r="H31" s="73" t="s">
        <v>23</v>
      </c>
      <c r="K31" s="79" t="s">
        <v>22</v>
      </c>
      <c r="L31" s="80">
        <f>L30-L29</f>
        <v>9.0821917808218586</v>
      </c>
      <c r="O31"/>
    </row>
    <row r="32" spans="1:18" x14ac:dyDescent="0.3">
      <c r="A32" s="74">
        <v>36533</v>
      </c>
      <c r="B32" s="75">
        <f>2000+7/12+1/365</f>
        <v>2000.5860730593606</v>
      </c>
      <c r="C32" s="48">
        <f>D26</f>
        <v>5779828.7854261305</v>
      </c>
      <c r="D32" s="114">
        <f>LN(C33/C32)/B34</f>
        <v>8.0856216432744505E-3</v>
      </c>
      <c r="E32"/>
      <c r="F32" s="116">
        <f>2010+6/12+0/365</f>
        <v>2010.5</v>
      </c>
      <c r="G32" s="116">
        <f>F32-B32</f>
        <v>9.9139269406393851</v>
      </c>
      <c r="H32" s="125">
        <f>C32*EXP($D$32*G32)</f>
        <v>6262217.2931900444</v>
      </c>
      <c r="N32"/>
      <c r="O32"/>
    </row>
    <row r="33" spans="1:18" ht="15" thickBot="1" x14ac:dyDescent="0.35">
      <c r="A33" s="76" t="s">
        <v>26</v>
      </c>
      <c r="B33" s="77">
        <f>2010+7/12+31/365</f>
        <v>2010.6682648401825</v>
      </c>
      <c r="C33" s="78">
        <f>I26</f>
        <v>6270743</v>
      </c>
      <c r="D33" s="115"/>
      <c r="E33"/>
      <c r="F33" s="117"/>
      <c r="G33" s="117"/>
      <c r="H33" s="126"/>
      <c r="K33" s="69" t="s">
        <v>9</v>
      </c>
      <c r="L33" s="70"/>
      <c r="M33" s="70"/>
      <c r="N33" s="70"/>
      <c r="O33"/>
      <c r="P33" s="70"/>
      <c r="Q33" s="70"/>
      <c r="R33" s="70"/>
    </row>
    <row r="34" spans="1:18" ht="16.8" thickBot="1" x14ac:dyDescent="0.35">
      <c r="A34" s="79" t="s">
        <v>22</v>
      </c>
      <c r="B34" s="80">
        <f>B33-B32</f>
        <v>10.082191780821859</v>
      </c>
      <c r="E34"/>
      <c r="F34"/>
      <c r="G34"/>
      <c r="H34"/>
      <c r="K34" s="71" t="s">
        <v>18</v>
      </c>
      <c r="L34" s="71" t="s">
        <v>19</v>
      </c>
      <c r="M34" s="71" t="s">
        <v>20</v>
      </c>
      <c r="N34" s="71" t="s">
        <v>21</v>
      </c>
      <c r="O34"/>
      <c r="P34" s="71" t="s">
        <v>19</v>
      </c>
      <c r="Q34" s="72" t="s">
        <v>22</v>
      </c>
      <c r="R34" s="73" t="s">
        <v>23</v>
      </c>
    </row>
    <row r="35" spans="1:18" x14ac:dyDescent="0.3">
      <c r="K35" s="74">
        <f>K29</f>
        <v>40186</v>
      </c>
      <c r="L35" s="75">
        <f>L29</f>
        <v>2010.5860730593606</v>
      </c>
      <c r="M35" s="48">
        <f>C13</f>
        <v>229716.0890275237</v>
      </c>
      <c r="N35" s="114">
        <f>LN(M36/M35)/L37</f>
        <v>1.4790726781925837E-2</v>
      </c>
      <c r="O35"/>
      <c r="P35" s="116">
        <f>P29</f>
        <v>2010.5</v>
      </c>
      <c r="Q35" s="116">
        <f>P35-L35</f>
        <v>-8.6073059360614934E-2</v>
      </c>
      <c r="R35" s="118">
        <f>M35*EXP($N$35*Q35)</f>
        <v>229423.82743192284</v>
      </c>
    </row>
    <row r="36" spans="1:18" ht="15" thickBot="1" x14ac:dyDescent="0.35">
      <c r="K36" s="76">
        <f>K30</f>
        <v>43708</v>
      </c>
      <c r="L36" s="77">
        <f>L30</f>
        <v>2019.6682648401825</v>
      </c>
      <c r="M36" s="78">
        <f>H13</f>
        <v>262743</v>
      </c>
      <c r="N36" s="115"/>
      <c r="O36"/>
      <c r="P36" s="117"/>
      <c r="Q36" s="117"/>
      <c r="R36" s="119"/>
    </row>
    <row r="37" spans="1:18" ht="15.6" thickBot="1" x14ac:dyDescent="0.35">
      <c r="K37" s="79" t="s">
        <v>22</v>
      </c>
      <c r="L37" s="80">
        <f>L36-L35</f>
        <v>9.0821917808218586</v>
      </c>
      <c r="O37"/>
    </row>
    <row r="38" spans="1:18" x14ac:dyDescent="0.3">
      <c r="N38"/>
      <c r="O38"/>
    </row>
    <row r="39" spans="1:18" ht="15" thickBot="1" x14ac:dyDescent="0.35">
      <c r="K39" s="69" t="s">
        <v>11</v>
      </c>
      <c r="L39" s="70"/>
      <c r="M39" s="70"/>
      <c r="N39" s="70"/>
      <c r="O39"/>
      <c r="P39" s="70"/>
      <c r="Q39" s="70"/>
      <c r="R39" s="70"/>
    </row>
    <row r="40" spans="1:18" ht="16.8" thickBot="1" x14ac:dyDescent="0.35">
      <c r="K40" s="71" t="s">
        <v>18</v>
      </c>
      <c r="L40" s="71" t="s">
        <v>19</v>
      </c>
      <c r="M40" s="71" t="s">
        <v>20</v>
      </c>
      <c r="N40" s="71" t="s">
        <v>21</v>
      </c>
      <c r="O40"/>
      <c r="P40" s="71" t="s">
        <v>19</v>
      </c>
      <c r="Q40" s="72" t="s">
        <v>22</v>
      </c>
      <c r="R40" s="73" t="s">
        <v>23</v>
      </c>
    </row>
    <row r="41" spans="1:18" x14ac:dyDescent="0.3">
      <c r="K41" s="74">
        <f>K35</f>
        <v>40186</v>
      </c>
      <c r="L41" s="75">
        <f>L35</f>
        <v>2010.5860730593606</v>
      </c>
      <c r="M41" s="48">
        <f>C14</f>
        <v>214298.23784498527</v>
      </c>
      <c r="N41" s="114">
        <f>LN(M42/M41)/L43</f>
        <v>1.1851516339231262E-2</v>
      </c>
      <c r="O41"/>
      <c r="P41" s="116">
        <f>P35</f>
        <v>2010.5</v>
      </c>
      <c r="Q41" s="116">
        <f>P41-L41</f>
        <v>-8.6073059360614934E-2</v>
      </c>
      <c r="R41" s="118">
        <f>M41*EXP($N$41*Q41)</f>
        <v>214079.74447310864</v>
      </c>
    </row>
    <row r="42" spans="1:18" ht="15" thickBot="1" x14ac:dyDescent="0.35">
      <c r="K42" s="76">
        <f>K36</f>
        <v>43708</v>
      </c>
      <c r="L42" s="77">
        <f>L36</f>
        <v>2019.6682648401825</v>
      </c>
      <c r="M42" s="78">
        <f>H14</f>
        <v>238652</v>
      </c>
      <c r="N42" s="115"/>
      <c r="O42"/>
      <c r="P42" s="117"/>
      <c r="Q42" s="117"/>
      <c r="R42" s="119"/>
    </row>
    <row r="43" spans="1:18" ht="15.6" thickBot="1" x14ac:dyDescent="0.35">
      <c r="K43" s="79" t="s">
        <v>22</v>
      </c>
      <c r="L43" s="80">
        <f>L42-L41</f>
        <v>9.0821917808218586</v>
      </c>
      <c r="O43"/>
    </row>
    <row r="44" spans="1:18" x14ac:dyDescent="0.3">
      <c r="N44"/>
      <c r="O44"/>
    </row>
    <row r="45" spans="1:18" ht="15" thickBot="1" x14ac:dyDescent="0.35">
      <c r="K45" s="69" t="s">
        <v>14</v>
      </c>
      <c r="L45" s="70"/>
      <c r="M45" s="70"/>
      <c r="N45" s="70"/>
      <c r="O45"/>
      <c r="P45" s="70"/>
      <c r="Q45" s="70"/>
      <c r="R45" s="70"/>
    </row>
    <row r="46" spans="1:18" ht="16.8" thickBot="1" x14ac:dyDescent="0.35">
      <c r="K46" s="71" t="s">
        <v>18</v>
      </c>
      <c r="L46" s="71" t="s">
        <v>19</v>
      </c>
      <c r="M46" s="71" t="s">
        <v>20</v>
      </c>
      <c r="N46" s="71" t="s">
        <v>21</v>
      </c>
      <c r="O46"/>
      <c r="P46" s="71" t="s">
        <v>19</v>
      </c>
      <c r="Q46" s="72" t="s">
        <v>22</v>
      </c>
      <c r="R46" s="73" t="s">
        <v>23</v>
      </c>
    </row>
    <row r="47" spans="1:18" x14ac:dyDescent="0.3">
      <c r="K47" s="74">
        <f>K41</f>
        <v>40186</v>
      </c>
      <c r="L47" s="75">
        <f>L41</f>
        <v>2010.5860730593606</v>
      </c>
      <c r="M47" s="48">
        <f>C15</f>
        <v>179021.5239979816</v>
      </c>
      <c r="N47" s="114">
        <f>LN(M48/M47)/L49</f>
        <v>2.3420431289809213E-2</v>
      </c>
      <c r="O47"/>
      <c r="P47" s="116">
        <f>P41</f>
        <v>2010.5</v>
      </c>
      <c r="Q47" s="116">
        <f>P47-L47</f>
        <v>-8.6073059360614934E-2</v>
      </c>
      <c r="R47" s="118">
        <f>M47*EXP($N$47*Q47)</f>
        <v>178661.00370830987</v>
      </c>
    </row>
    <row r="48" spans="1:18" ht="15" thickBot="1" x14ac:dyDescent="0.35">
      <c r="K48" s="76">
        <f>K42</f>
        <v>43708</v>
      </c>
      <c r="L48" s="77">
        <f>L42</f>
        <v>2019.6682648401825</v>
      </c>
      <c r="M48" s="78">
        <f>H15</f>
        <v>221454</v>
      </c>
      <c r="N48" s="115"/>
      <c r="O48"/>
      <c r="P48" s="117"/>
      <c r="Q48" s="117"/>
      <c r="R48" s="119"/>
    </row>
    <row r="49" spans="11:18" ht="15.6" thickBot="1" x14ac:dyDescent="0.35">
      <c r="K49" s="79" t="s">
        <v>22</v>
      </c>
      <c r="L49" s="80">
        <f>L48-L47</f>
        <v>9.0821917808218586</v>
      </c>
      <c r="O49"/>
    </row>
    <row r="50" spans="11:18" x14ac:dyDescent="0.3">
      <c r="N50"/>
      <c r="O50"/>
    </row>
    <row r="51" spans="11:18" ht="15" thickBot="1" x14ac:dyDescent="0.35">
      <c r="K51" s="69" t="s">
        <v>15</v>
      </c>
      <c r="L51" s="70"/>
      <c r="M51" s="70"/>
      <c r="N51" s="70"/>
      <c r="O51"/>
      <c r="P51" s="70"/>
      <c r="Q51" s="70"/>
      <c r="R51" s="70"/>
    </row>
    <row r="52" spans="11:18" ht="16.8" thickBot="1" x14ac:dyDescent="0.35">
      <c r="K52" s="71" t="s">
        <v>18</v>
      </c>
      <c r="L52" s="71" t="s">
        <v>19</v>
      </c>
      <c r="M52" s="71" t="s">
        <v>20</v>
      </c>
      <c r="N52" s="71" t="s">
        <v>21</v>
      </c>
      <c r="O52"/>
      <c r="P52" s="71" t="s">
        <v>19</v>
      </c>
      <c r="Q52" s="72" t="s">
        <v>22</v>
      </c>
      <c r="R52" s="73" t="s">
        <v>23</v>
      </c>
    </row>
    <row r="53" spans="11:18" x14ac:dyDescent="0.3">
      <c r="K53" s="74">
        <f>K47</f>
        <v>40186</v>
      </c>
      <c r="L53" s="75">
        <f>L47</f>
        <v>2010.5860730593606</v>
      </c>
      <c r="M53" s="48">
        <f>C16</f>
        <v>151550.65256476699</v>
      </c>
      <c r="N53" s="114">
        <f>LN(M54/M53)/L55</f>
        <v>3.079486161623678E-2</v>
      </c>
      <c r="O53"/>
      <c r="P53" s="116">
        <f>P47</f>
        <v>2010.5</v>
      </c>
      <c r="Q53" s="116">
        <f>P53-L53</f>
        <v>-8.6073059360614934E-2</v>
      </c>
      <c r="R53" s="118">
        <f>M53*EXP($N$53*Q53)</f>
        <v>151149.48310631746</v>
      </c>
    </row>
    <row r="54" spans="11:18" ht="15" thickBot="1" x14ac:dyDescent="0.35">
      <c r="K54" s="76">
        <f>K48</f>
        <v>43708</v>
      </c>
      <c r="L54" s="77">
        <f>L48</f>
        <v>2019.6682648401825</v>
      </c>
      <c r="M54" s="78">
        <f>H16</f>
        <v>200458</v>
      </c>
      <c r="N54" s="115"/>
      <c r="O54"/>
      <c r="P54" s="117"/>
      <c r="Q54" s="117"/>
      <c r="R54" s="119"/>
    </row>
    <row r="55" spans="11:18" ht="15.6" thickBot="1" x14ac:dyDescent="0.35">
      <c r="K55" s="79" t="s">
        <v>22</v>
      </c>
      <c r="L55" s="80">
        <f>L54-L53</f>
        <v>9.0821917808218586</v>
      </c>
      <c r="O55"/>
    </row>
  </sheetData>
  <mergeCells count="42">
    <mergeCell ref="A29:H29"/>
    <mergeCell ref="D32:D33"/>
    <mergeCell ref="F32:F33"/>
    <mergeCell ref="G32:G33"/>
    <mergeCell ref="H32:H33"/>
    <mergeCell ref="A1:D1"/>
    <mergeCell ref="F1:I1"/>
    <mergeCell ref="G5:I5"/>
    <mergeCell ref="F5:F6"/>
    <mergeCell ref="A5:A6"/>
    <mergeCell ref="B5:D5"/>
    <mergeCell ref="L1:O1"/>
    <mergeCell ref="P3:R3"/>
    <mergeCell ref="K14:R14"/>
    <mergeCell ref="N17:N18"/>
    <mergeCell ref="P17:P18"/>
    <mergeCell ref="Q17:Q18"/>
    <mergeCell ref="R17:R18"/>
    <mergeCell ref="N23:N24"/>
    <mergeCell ref="P23:P24"/>
    <mergeCell ref="Q23:Q24"/>
    <mergeCell ref="R23:R24"/>
    <mergeCell ref="N29:N30"/>
    <mergeCell ref="P29:P30"/>
    <mergeCell ref="Q29:Q30"/>
    <mergeCell ref="R29:R30"/>
    <mergeCell ref="N35:N36"/>
    <mergeCell ref="P35:P36"/>
    <mergeCell ref="Q35:Q36"/>
    <mergeCell ref="R35:R36"/>
    <mergeCell ref="N41:N42"/>
    <mergeCell ref="P41:P42"/>
    <mergeCell ref="Q41:Q42"/>
    <mergeCell ref="R41:R42"/>
    <mergeCell ref="N47:N48"/>
    <mergeCell ref="P47:P48"/>
    <mergeCell ref="Q47:Q48"/>
    <mergeCell ref="R47:R48"/>
    <mergeCell ref="N53:N54"/>
    <mergeCell ref="P53:P54"/>
    <mergeCell ref="Q53:Q54"/>
    <mergeCell ref="R53:R5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7"/>
  <sheetViews>
    <sheetView topLeftCell="A42" zoomScaleNormal="100" workbookViewId="0">
      <selection activeCell="K9" sqref="K9"/>
    </sheetView>
  </sheetViews>
  <sheetFormatPr baseColWidth="10" defaultColWidth="9.109375" defaultRowHeight="14.4" x14ac:dyDescent="0.3"/>
  <cols>
    <col min="1" max="10" width="10.44140625" customWidth="1"/>
  </cols>
  <sheetData>
    <row r="1" spans="1:13" x14ac:dyDescent="0.3">
      <c r="A1" s="128" t="s">
        <v>35</v>
      </c>
      <c r="B1" s="128"/>
      <c r="C1" s="128"/>
      <c r="D1" s="128"/>
      <c r="E1" s="128"/>
      <c r="F1" s="128"/>
      <c r="G1" s="128"/>
      <c r="H1" s="128"/>
      <c r="I1" s="128"/>
      <c r="J1" s="128"/>
      <c r="K1" s="2"/>
    </row>
    <row r="2" spans="1:13" x14ac:dyDescent="0.3">
      <c r="A2" s="128" t="s">
        <v>61</v>
      </c>
      <c r="B2" s="128"/>
      <c r="C2" s="128"/>
      <c r="D2" s="128"/>
      <c r="E2" s="128"/>
      <c r="F2" s="128"/>
      <c r="G2" s="128"/>
      <c r="H2" s="128"/>
      <c r="I2" s="128"/>
      <c r="J2" s="128"/>
      <c r="K2" s="2"/>
    </row>
    <row r="3" spans="1:13" x14ac:dyDescent="0.3">
      <c r="A3" s="7"/>
      <c r="B3" s="7"/>
      <c r="C3" s="7"/>
      <c r="D3" s="7"/>
      <c r="E3" s="7"/>
      <c r="F3" s="7"/>
      <c r="G3" s="7"/>
      <c r="H3" s="7"/>
      <c r="I3" s="7"/>
      <c r="J3" s="7"/>
      <c r="K3" s="2"/>
    </row>
    <row r="4" spans="1:13" ht="15.6" x14ac:dyDescent="0.3">
      <c r="A4" s="140" t="s">
        <v>62</v>
      </c>
      <c r="B4" s="140" t="s">
        <v>63</v>
      </c>
      <c r="C4" s="140" t="s">
        <v>64</v>
      </c>
      <c r="D4" s="140" t="s">
        <v>65</v>
      </c>
      <c r="E4" s="140" t="s">
        <v>66</v>
      </c>
      <c r="F4" s="140" t="s">
        <v>67</v>
      </c>
      <c r="G4" s="140" t="s">
        <v>68</v>
      </c>
      <c r="H4" s="140" t="s">
        <v>69</v>
      </c>
      <c r="I4" s="140" t="s">
        <v>70</v>
      </c>
      <c r="J4" s="140" t="s">
        <v>71</v>
      </c>
      <c r="K4" s="140" t="s">
        <v>72</v>
      </c>
      <c r="L4" s="140" t="s">
        <v>73</v>
      </c>
      <c r="M4" s="140"/>
    </row>
    <row r="5" spans="1:13" x14ac:dyDescent="0.3">
      <c r="A5" s="141">
        <v>0</v>
      </c>
      <c r="B5" s="141">
        <v>1</v>
      </c>
      <c r="C5" s="142">
        <v>52963</v>
      </c>
      <c r="D5" s="142">
        <v>1001</v>
      </c>
      <c r="E5" s="143">
        <f>D5/C5</f>
        <v>1.8899986783226026E-2</v>
      </c>
      <c r="F5" s="144">
        <f>0.053 + 2.8 * E5</f>
        <v>0.10591996299303287</v>
      </c>
      <c r="G5" s="143">
        <f>(B5*E5)/(1+(B5-F5)*E5)</f>
        <v>1.8585920031537577E-2</v>
      </c>
      <c r="H5" s="143">
        <f>1-G5</f>
        <v>0.98141407996846242</v>
      </c>
      <c r="I5" s="145">
        <v>100000</v>
      </c>
      <c r="J5" s="145">
        <f>I5*G5</f>
        <v>1858.5920031537578</v>
      </c>
      <c r="K5" s="145">
        <f>(B5*I6)+(F5*J5)</f>
        <v>98338.269993039445</v>
      </c>
      <c r="L5" s="145">
        <f>K5+L6</f>
        <v>7650789.1790146278</v>
      </c>
      <c r="M5" s="146">
        <f>L5/I5</f>
        <v>76.507891790146275</v>
      </c>
    </row>
    <row r="6" spans="1:13" x14ac:dyDescent="0.3">
      <c r="A6" s="147">
        <v>1</v>
      </c>
      <c r="B6" s="147">
        <v>4</v>
      </c>
      <c r="C6" s="142">
        <v>54472</v>
      </c>
      <c r="D6" s="148">
        <v>189</v>
      </c>
      <c r="E6" s="143">
        <f t="shared" ref="E6:E23" si="0">D6/C6</f>
        <v>3.4696724922896167E-3</v>
      </c>
      <c r="F6" s="149">
        <f>1.522 - 1.518 * E5</f>
        <v>1.493309820063063</v>
      </c>
      <c r="G6" s="143">
        <f>(B6*E6)/(1+(B6-F6)*E6)</f>
        <v>1.3759022331382684E-2</v>
      </c>
      <c r="H6" s="143">
        <f t="shared" ref="H6:H23" si="1">1-G6</f>
        <v>0.98624097766861729</v>
      </c>
      <c r="I6" s="145">
        <f>I5*H5</f>
        <v>98141.407996846247</v>
      </c>
      <c r="J6" s="145">
        <f t="shared" ref="J6:J23" si="2">I6*G6</f>
        <v>1350.3298242619467</v>
      </c>
      <c r="K6" s="145">
        <f>(B6*I7)+(F6*J6)</f>
        <v>389180.77347723156</v>
      </c>
      <c r="L6" s="145">
        <f>K6+L7</f>
        <v>7552450.909021588</v>
      </c>
      <c r="M6" s="146">
        <f>L6/I6</f>
        <v>76.954784562131863</v>
      </c>
    </row>
    <row r="7" spans="1:13" x14ac:dyDescent="0.3">
      <c r="A7" s="147">
        <v>5</v>
      </c>
      <c r="B7" s="147">
        <v>5</v>
      </c>
      <c r="C7" s="150">
        <v>306264</v>
      </c>
      <c r="D7" s="148">
        <v>80</v>
      </c>
      <c r="E7" s="143">
        <f t="shared" si="0"/>
        <v>2.612125486508372E-4</v>
      </c>
      <c r="F7" s="143">
        <f>B7/2</f>
        <v>2.5</v>
      </c>
      <c r="G7" s="143">
        <f>(B7*E7)/(1+(B7-F7)*E7)</f>
        <v>1.3052103999164667E-3</v>
      </c>
      <c r="H7" s="143">
        <f t="shared" si="1"/>
        <v>0.99869478960008351</v>
      </c>
      <c r="I7" s="145">
        <f t="shared" ref="I7:I22" si="3">I6*H6</f>
        <v>96791.078172584297</v>
      </c>
      <c r="J7" s="145">
        <f t="shared" si="2"/>
        <v>126.33272184998474</v>
      </c>
      <c r="K7" s="145">
        <f>(B7*I8)+(F7*J7)</f>
        <v>483639.55905829644</v>
      </c>
      <c r="L7" s="145">
        <f t="shared" ref="L7:L21" si="4">K7+L8</f>
        <v>7163270.1355443569</v>
      </c>
      <c r="M7" s="146">
        <f t="shared" ref="M7:M23" si="5">L7/I7</f>
        <v>74.007545641467246</v>
      </c>
    </row>
    <row r="8" spans="1:13" x14ac:dyDescent="0.3">
      <c r="A8" s="147">
        <v>10</v>
      </c>
      <c r="B8" s="147">
        <v>5</v>
      </c>
      <c r="C8" s="137">
        <v>299188</v>
      </c>
      <c r="D8" s="148">
        <v>79</v>
      </c>
      <c r="E8" s="143">
        <f t="shared" si="0"/>
        <v>2.6404802331644319E-4</v>
      </c>
      <c r="F8" s="143">
        <f t="shared" ref="F8:F23" si="6">B8/2</f>
        <v>2.5</v>
      </c>
      <c r="G8" s="143">
        <f t="shared" ref="G8:G22" si="7">(B8*E8)/(1+(B8-F8)*E8)</f>
        <v>1.3193691745258204E-3</v>
      </c>
      <c r="H8" s="143">
        <f t="shared" si="1"/>
        <v>0.9986806308254742</v>
      </c>
      <c r="I8" s="145">
        <f t="shared" si="3"/>
        <v>96664.745450734306</v>
      </c>
      <c r="J8" s="145">
        <f t="shared" si="2"/>
        <v>127.53648541108387</v>
      </c>
      <c r="K8" s="145">
        <f t="shared" ref="K8:K20" si="8">(B8*I9)+(F8*J8)</f>
        <v>483004.88604014384</v>
      </c>
      <c r="L8" s="145">
        <f t="shared" si="4"/>
        <v>6679630.5764860604</v>
      </c>
      <c r="M8" s="146">
        <f t="shared" si="5"/>
        <v>69.101000011326462</v>
      </c>
    </row>
    <row r="9" spans="1:13" x14ac:dyDescent="0.3">
      <c r="A9" s="141">
        <v>15</v>
      </c>
      <c r="B9" s="147">
        <v>5</v>
      </c>
      <c r="C9" s="137">
        <v>304996</v>
      </c>
      <c r="D9" s="148">
        <v>158</v>
      </c>
      <c r="E9" s="143">
        <f t="shared" si="0"/>
        <v>5.1803958084696198E-4</v>
      </c>
      <c r="F9" s="143">
        <f t="shared" si="6"/>
        <v>2.5</v>
      </c>
      <c r="G9" s="143">
        <f t="shared" si="7"/>
        <v>2.5868476805144883E-3</v>
      </c>
      <c r="H9" s="143">
        <f t="shared" si="1"/>
        <v>0.99741315231948546</v>
      </c>
      <c r="I9" s="145">
        <f t="shared" si="3"/>
        <v>96537.208965323225</v>
      </c>
      <c r="J9" s="145">
        <f t="shared" si="2"/>
        <v>249.72705509528885</v>
      </c>
      <c r="K9" s="145">
        <f t="shared" si="8"/>
        <v>482061.72718887788</v>
      </c>
      <c r="L9" s="145">
        <f t="shared" si="4"/>
        <v>6196625.6904459167</v>
      </c>
      <c r="M9" s="146">
        <f t="shared" si="5"/>
        <v>64.188987405589728</v>
      </c>
    </row>
    <row r="10" spans="1:13" x14ac:dyDescent="0.3">
      <c r="A10" s="141">
        <v>20</v>
      </c>
      <c r="B10" s="147">
        <v>5</v>
      </c>
      <c r="C10" s="137">
        <v>270498</v>
      </c>
      <c r="D10" s="148">
        <v>127</v>
      </c>
      <c r="E10" s="143">
        <f t="shared" si="0"/>
        <v>4.6950439559627057E-4</v>
      </c>
      <c r="F10" s="143">
        <f t="shared" si="6"/>
        <v>2.5</v>
      </c>
      <c r="G10" s="143">
        <f t="shared" si="7"/>
        <v>2.3447697786869661E-3</v>
      </c>
      <c r="H10" s="143">
        <f t="shared" si="1"/>
        <v>0.99765523022131308</v>
      </c>
      <c r="I10" s="145">
        <f t="shared" si="3"/>
        <v>96287.481910227929</v>
      </c>
      <c r="J10" s="145">
        <f t="shared" si="2"/>
        <v>225.77197764897039</v>
      </c>
      <c r="K10" s="145">
        <f t="shared" si="8"/>
        <v>480872.97960701725</v>
      </c>
      <c r="L10" s="145">
        <f t="shared" si="4"/>
        <v>5714563.963257039</v>
      </c>
      <c r="M10" s="146">
        <f t="shared" si="5"/>
        <v>59.34898129940629</v>
      </c>
    </row>
    <row r="11" spans="1:13" x14ac:dyDescent="0.3">
      <c r="A11" s="141">
        <v>25</v>
      </c>
      <c r="B11" s="147">
        <v>5</v>
      </c>
      <c r="C11" s="137">
        <v>237932</v>
      </c>
      <c r="D11" s="148">
        <v>170</v>
      </c>
      <c r="E11" s="143">
        <f t="shared" si="0"/>
        <v>7.144898542440697E-4</v>
      </c>
      <c r="F11" s="143">
        <f t="shared" si="6"/>
        <v>2.5</v>
      </c>
      <c r="G11" s="143">
        <f t="shared" si="7"/>
        <v>3.5660794522501958E-3</v>
      </c>
      <c r="H11" s="143">
        <f t="shared" si="1"/>
        <v>0.99643392054774982</v>
      </c>
      <c r="I11" s="145">
        <f t="shared" si="3"/>
        <v>96061.70993257896</v>
      </c>
      <c r="J11" s="145">
        <f t="shared" si="2"/>
        <v>342.56368993858837</v>
      </c>
      <c r="K11" s="145">
        <f t="shared" si="8"/>
        <v>479452.14043804834</v>
      </c>
      <c r="L11" s="145">
        <f t="shared" si="4"/>
        <v>5233690.9836500213</v>
      </c>
      <c r="M11" s="146">
        <f t="shared" si="5"/>
        <v>54.482592359882979</v>
      </c>
    </row>
    <row r="12" spans="1:13" x14ac:dyDescent="0.3">
      <c r="A12" s="141">
        <v>30</v>
      </c>
      <c r="B12" s="147">
        <v>5</v>
      </c>
      <c r="C12" s="137">
        <v>227543</v>
      </c>
      <c r="D12" s="148">
        <v>182</v>
      </c>
      <c r="E12" s="143">
        <f t="shared" si="0"/>
        <v>7.9984881978351346E-4</v>
      </c>
      <c r="F12" s="143">
        <f t="shared" si="6"/>
        <v>2.5</v>
      </c>
      <c r="G12" s="143">
        <f t="shared" si="7"/>
        <v>3.9912630812550991E-3</v>
      </c>
      <c r="H12" s="143">
        <f t="shared" si="1"/>
        <v>0.99600873691874492</v>
      </c>
      <c r="I12" s="145">
        <f t="shared" si="3"/>
        <v>95719.146242640374</v>
      </c>
      <c r="J12" s="145">
        <f t="shared" si="2"/>
        <v>382.04029456750828</v>
      </c>
      <c r="K12" s="145">
        <f t="shared" si="8"/>
        <v>477640.63047678315</v>
      </c>
      <c r="L12" s="145">
        <f t="shared" si="4"/>
        <v>4754238.8432119731</v>
      </c>
      <c r="M12" s="146">
        <f t="shared" si="5"/>
        <v>49.668629838803184</v>
      </c>
    </row>
    <row r="13" spans="1:13" x14ac:dyDescent="0.3">
      <c r="A13" s="141">
        <v>35</v>
      </c>
      <c r="B13" s="147">
        <v>5</v>
      </c>
      <c r="C13" s="137">
        <v>212271</v>
      </c>
      <c r="D13" s="148">
        <v>266</v>
      </c>
      <c r="E13" s="143">
        <f t="shared" si="0"/>
        <v>1.2531151217076285E-3</v>
      </c>
      <c r="F13" s="143">
        <f t="shared" si="6"/>
        <v>2.5</v>
      </c>
      <c r="G13" s="143">
        <f t="shared" si="7"/>
        <v>6.2460081902543487E-3</v>
      </c>
      <c r="H13" s="143">
        <f t="shared" si="1"/>
        <v>0.99375399180974566</v>
      </c>
      <c r="I13" s="145">
        <f t="shared" si="3"/>
        <v>95337.105948072873</v>
      </c>
      <c r="J13" s="145">
        <f t="shared" si="2"/>
        <v>595.47634458680977</v>
      </c>
      <c r="K13" s="145">
        <f t="shared" si="8"/>
        <v>475196.83887889731</v>
      </c>
      <c r="L13" s="145">
        <f t="shared" si="4"/>
        <v>4276598.2127351901</v>
      </c>
      <c r="M13" s="146">
        <f t="shared" si="5"/>
        <v>44.857646665554533</v>
      </c>
    </row>
    <row r="14" spans="1:13" x14ac:dyDescent="0.3">
      <c r="A14" s="141">
        <v>40</v>
      </c>
      <c r="B14" s="147">
        <v>5</v>
      </c>
      <c r="C14" s="137">
        <v>177328</v>
      </c>
      <c r="D14" s="148">
        <v>315</v>
      </c>
      <c r="E14" s="143">
        <f t="shared" si="0"/>
        <v>1.7763692141117026E-3</v>
      </c>
      <c r="F14" s="143">
        <f t="shared" si="6"/>
        <v>2.5</v>
      </c>
      <c r="G14" s="143">
        <f t="shared" si="7"/>
        <v>8.8425768672574807E-3</v>
      </c>
      <c r="H14" s="143">
        <f t="shared" si="1"/>
        <v>0.99115742313274247</v>
      </c>
      <c r="I14" s="145">
        <f t="shared" si="3"/>
        <v>94741.629603486057</v>
      </c>
      <c r="J14" s="145">
        <f t="shared" si="2"/>
        <v>837.76014229806231</v>
      </c>
      <c r="K14" s="145">
        <f t="shared" si="8"/>
        <v>471613.74766168511</v>
      </c>
      <c r="L14" s="145">
        <f t="shared" si="4"/>
        <v>3801401.3738562926</v>
      </c>
      <c r="M14" s="146">
        <f t="shared" si="5"/>
        <v>40.123875742542836</v>
      </c>
    </row>
    <row r="15" spans="1:13" x14ac:dyDescent="0.3">
      <c r="A15" s="141">
        <v>45</v>
      </c>
      <c r="B15" s="147">
        <v>5</v>
      </c>
      <c r="C15" s="137">
        <v>150117</v>
      </c>
      <c r="D15" s="148">
        <v>440</v>
      </c>
      <c r="E15" s="143">
        <f t="shared" si="0"/>
        <v>2.9310471165823991E-3</v>
      </c>
      <c r="F15" s="143">
        <f t="shared" si="6"/>
        <v>2.5</v>
      </c>
      <c r="G15" s="143">
        <f t="shared" si="7"/>
        <v>1.4548628791736379E-2</v>
      </c>
      <c r="H15" s="143">
        <f t="shared" si="1"/>
        <v>0.98545137120826365</v>
      </c>
      <c r="I15" s="145">
        <f t="shared" si="3"/>
        <v>93903.869461187991</v>
      </c>
      <c r="J15" s="145">
        <f t="shared" si="2"/>
        <v>1366.1725388984942</v>
      </c>
      <c r="K15" s="145">
        <f t="shared" si="8"/>
        <v>466103.91595869372</v>
      </c>
      <c r="L15" s="145">
        <f t="shared" si="4"/>
        <v>3329787.6261946075</v>
      </c>
      <c r="M15" s="146">
        <f t="shared" si="5"/>
        <v>35.459535856196673</v>
      </c>
    </row>
    <row r="16" spans="1:13" x14ac:dyDescent="0.3">
      <c r="A16" s="141">
        <v>50</v>
      </c>
      <c r="B16" s="147">
        <v>5</v>
      </c>
      <c r="C16" s="137">
        <v>129643</v>
      </c>
      <c r="D16" s="148">
        <v>647</v>
      </c>
      <c r="E16" s="143">
        <f t="shared" si="0"/>
        <v>4.9906281095007058E-3</v>
      </c>
      <c r="F16" s="143">
        <f t="shared" si="6"/>
        <v>2.5</v>
      </c>
      <c r="G16" s="143">
        <f t="shared" si="7"/>
        <v>2.4645647395827381E-2</v>
      </c>
      <c r="H16" s="143">
        <f t="shared" si="1"/>
        <v>0.97535435260417258</v>
      </c>
      <c r="I16" s="145">
        <f t="shared" si="3"/>
        <v>92537.696922289499</v>
      </c>
      <c r="J16" s="145">
        <f t="shared" si="2"/>
        <v>2280.6514491686876</v>
      </c>
      <c r="K16" s="145">
        <f t="shared" si="8"/>
        <v>456986.85598852573</v>
      </c>
      <c r="L16" s="145">
        <f t="shared" si="4"/>
        <v>2863683.7102359137</v>
      </c>
      <c r="M16" s="146">
        <f t="shared" si="5"/>
        <v>30.946131203597524</v>
      </c>
    </row>
    <row r="17" spans="1:13" x14ac:dyDescent="0.3">
      <c r="A17" s="141">
        <v>55</v>
      </c>
      <c r="B17" s="147">
        <v>5</v>
      </c>
      <c r="C17" s="137">
        <v>100712</v>
      </c>
      <c r="D17" s="148">
        <v>777</v>
      </c>
      <c r="E17" s="143">
        <f t="shared" si="0"/>
        <v>7.7150687107792517E-3</v>
      </c>
      <c r="F17" s="143">
        <f t="shared" si="6"/>
        <v>2.5</v>
      </c>
      <c r="G17" s="143">
        <f t="shared" si="7"/>
        <v>3.7845394015849285E-2</v>
      </c>
      <c r="H17" s="143">
        <f t="shared" si="1"/>
        <v>0.9621546059841507</v>
      </c>
      <c r="I17" s="145">
        <f t="shared" si="3"/>
        <v>90257.045473120801</v>
      </c>
      <c r="J17" s="145">
        <f t="shared" si="2"/>
        <v>3415.8134486366826</v>
      </c>
      <c r="K17" s="145">
        <f t="shared" si="8"/>
        <v>442745.69374401221</v>
      </c>
      <c r="L17" s="145">
        <f t="shared" si="4"/>
        <v>2406696.854247388</v>
      </c>
      <c r="M17" s="146">
        <f t="shared" si="5"/>
        <v>26.664919526577233</v>
      </c>
    </row>
    <row r="18" spans="1:13" x14ac:dyDescent="0.3">
      <c r="A18" s="141">
        <v>60</v>
      </c>
      <c r="B18" s="147">
        <v>5</v>
      </c>
      <c r="C18" s="137">
        <v>81524</v>
      </c>
      <c r="D18" s="148">
        <v>925</v>
      </c>
      <c r="E18" s="143">
        <f t="shared" si="0"/>
        <v>1.1346351994504686E-2</v>
      </c>
      <c r="F18" s="143">
        <f t="shared" si="6"/>
        <v>2.5</v>
      </c>
      <c r="G18" s="143">
        <f t="shared" si="7"/>
        <v>5.5166902244249229E-2</v>
      </c>
      <c r="H18" s="143">
        <f t="shared" si="1"/>
        <v>0.94483309775575075</v>
      </c>
      <c r="I18" s="145">
        <f t="shared" si="3"/>
        <v>86841.23202448411</v>
      </c>
      <c r="J18" s="145">
        <f t="shared" si="2"/>
        <v>4790.7617578648806</v>
      </c>
      <c r="K18" s="145">
        <f t="shared" si="8"/>
        <v>422229.25572775834</v>
      </c>
      <c r="L18" s="145">
        <f t="shared" si="4"/>
        <v>1963951.1605033758</v>
      </c>
      <c r="M18" s="146">
        <f t="shared" si="5"/>
        <v>22.615422590384913</v>
      </c>
    </row>
    <row r="19" spans="1:13" x14ac:dyDescent="0.3">
      <c r="A19" s="141">
        <v>65</v>
      </c>
      <c r="B19" s="147">
        <v>5</v>
      </c>
      <c r="C19" s="137">
        <v>62606</v>
      </c>
      <c r="D19" s="150">
        <v>1073</v>
      </c>
      <c r="E19" s="143">
        <f t="shared" si="0"/>
        <v>1.7138932370699293E-2</v>
      </c>
      <c r="F19" s="143">
        <f t="shared" si="6"/>
        <v>2.5</v>
      </c>
      <c r="G19" s="143">
        <f t="shared" si="7"/>
        <v>8.2173736569227343E-2</v>
      </c>
      <c r="H19" s="143">
        <f t="shared" si="1"/>
        <v>0.91782626343077267</v>
      </c>
      <c r="I19" s="145">
        <f t="shared" si="3"/>
        <v>82050.470266619232</v>
      </c>
      <c r="J19" s="145">
        <f t="shared" si="2"/>
        <v>6742.3937290703898</v>
      </c>
      <c r="K19" s="145">
        <f t="shared" si="8"/>
        <v>393396.36701042019</v>
      </c>
      <c r="L19" s="145">
        <f t="shared" si="4"/>
        <v>1541721.9047756174</v>
      </c>
      <c r="M19" s="146">
        <f t="shared" si="5"/>
        <v>18.789921614901939</v>
      </c>
    </row>
    <row r="20" spans="1:13" x14ac:dyDescent="0.3">
      <c r="A20" s="141">
        <v>70</v>
      </c>
      <c r="B20" s="147">
        <v>5</v>
      </c>
      <c r="C20" s="137">
        <v>53277</v>
      </c>
      <c r="D20" s="150">
        <v>1294</v>
      </c>
      <c r="E20" s="143">
        <f t="shared" si="0"/>
        <v>2.4288154363045968E-2</v>
      </c>
      <c r="F20" s="143">
        <f t="shared" si="6"/>
        <v>2.5</v>
      </c>
      <c r="G20" s="143">
        <f t="shared" si="7"/>
        <v>0.11448895809739525</v>
      </c>
      <c r="H20" s="143">
        <f t="shared" si="1"/>
        <v>0.88551104190260477</v>
      </c>
      <c r="I20" s="145">
        <f t="shared" si="3"/>
        <v>75308.076537548841</v>
      </c>
      <c r="J20" s="145">
        <f t="shared" si="2"/>
        <v>8621.9432191028627</v>
      </c>
      <c r="K20" s="145">
        <f t="shared" si="8"/>
        <v>354985.5246399871</v>
      </c>
      <c r="L20" s="145">
        <f t="shared" si="4"/>
        <v>1148325.5377651972</v>
      </c>
      <c r="M20" s="146">
        <f t="shared" si="5"/>
        <v>15.248371629736667</v>
      </c>
    </row>
    <row r="21" spans="1:13" x14ac:dyDescent="0.3">
      <c r="A21" s="141">
        <v>75</v>
      </c>
      <c r="B21" s="147">
        <v>5</v>
      </c>
      <c r="C21" s="137">
        <v>36781</v>
      </c>
      <c r="D21" s="150">
        <v>1657</v>
      </c>
      <c r="E21" s="143">
        <f t="shared" si="0"/>
        <v>4.5050433647807295E-2</v>
      </c>
      <c r="F21" s="143">
        <f t="shared" si="6"/>
        <v>2.5</v>
      </c>
      <c r="G21" s="143">
        <f t="shared" si="7"/>
        <v>0.20245091451122221</v>
      </c>
      <c r="H21" s="143">
        <f t="shared" si="1"/>
        <v>0.79754908548877779</v>
      </c>
      <c r="I21" s="145">
        <f t="shared" si="3"/>
        <v>66686.13331844598</v>
      </c>
      <c r="J21" s="145">
        <f t="shared" si="2"/>
        <v>13500.668675536674</v>
      </c>
      <c r="K21" s="145">
        <f>(B21*I22)+(F21*J21)</f>
        <v>299678.9949033882</v>
      </c>
      <c r="L21" s="145">
        <f t="shared" si="4"/>
        <v>793340.01312521019</v>
      </c>
      <c r="M21" s="146">
        <f t="shared" si="5"/>
        <v>11.89662638463048</v>
      </c>
    </row>
    <row r="22" spans="1:13" x14ac:dyDescent="0.3">
      <c r="A22" s="141">
        <v>80</v>
      </c>
      <c r="B22" s="147">
        <v>5</v>
      </c>
      <c r="C22" s="137">
        <v>24398</v>
      </c>
      <c r="D22" s="150">
        <v>1740</v>
      </c>
      <c r="E22" s="143">
        <f t="shared" si="0"/>
        <v>7.1317321091892774E-2</v>
      </c>
      <c r="F22" s="143">
        <f t="shared" si="6"/>
        <v>2.5</v>
      </c>
      <c r="G22" s="143">
        <f t="shared" si="7"/>
        <v>0.30262974815639343</v>
      </c>
      <c r="H22" s="143">
        <f t="shared" si="1"/>
        <v>0.69737025184360657</v>
      </c>
      <c r="I22" s="145">
        <f t="shared" si="3"/>
        <v>53185.464642909305</v>
      </c>
      <c r="J22" s="145">
        <f t="shared" si="2"/>
        <v>16095.503770464409</v>
      </c>
      <c r="K22" s="145">
        <f t="shared" ref="K22" si="9">(B22*I23)+(F22*J22)</f>
        <v>225688.56378838548</v>
      </c>
      <c r="L22" s="145">
        <f>K22+L23</f>
        <v>493661.01822182199</v>
      </c>
      <c r="M22" s="146">
        <f t="shared" si="5"/>
        <v>9.2818784518720374</v>
      </c>
    </row>
    <row r="23" spans="1:13" x14ac:dyDescent="0.3">
      <c r="A23" s="141" t="s">
        <v>74</v>
      </c>
      <c r="B23" s="147">
        <v>5</v>
      </c>
      <c r="C23" s="137">
        <v>23994</v>
      </c>
      <c r="D23" s="150">
        <v>3321</v>
      </c>
      <c r="E23" s="143">
        <f t="shared" si="0"/>
        <v>0.13840960240060016</v>
      </c>
      <c r="F23" s="143">
        <f t="shared" si="6"/>
        <v>2.5</v>
      </c>
      <c r="G23" s="143">
        <v>1</v>
      </c>
      <c r="H23" s="143">
        <f t="shared" si="1"/>
        <v>0</v>
      </c>
      <c r="I23" s="145">
        <f>I22*H22</f>
        <v>37089.960872444892</v>
      </c>
      <c r="J23" s="145">
        <f t="shared" si="2"/>
        <v>37089.960872444892</v>
      </c>
      <c r="K23" s="145">
        <f>I23/E23</f>
        <v>267972.45443343651</v>
      </c>
      <c r="L23" s="145">
        <f>I23/E23</f>
        <v>267972.45443343651</v>
      </c>
      <c r="M23" s="146">
        <f t="shared" si="5"/>
        <v>7.2249322493224923</v>
      </c>
    </row>
    <row r="24" spans="1:1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</row>
    <row r="25" spans="1:1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</row>
    <row r="26" spans="1:13" ht="15.6" x14ac:dyDescent="0.3">
      <c r="A26" s="3"/>
      <c r="B26" s="4"/>
      <c r="C26" s="3"/>
      <c r="D26" s="5"/>
      <c r="E26" s="3"/>
      <c r="F26" s="3"/>
      <c r="G26" s="3"/>
      <c r="H26" s="3"/>
      <c r="I26" s="3"/>
      <c r="J26" s="3"/>
      <c r="K26" s="2"/>
    </row>
    <row r="27" spans="1:13" x14ac:dyDescent="0.3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2"/>
    </row>
  </sheetData>
  <mergeCells count="3">
    <mergeCell ref="A1:J1"/>
    <mergeCell ref="A27:J27"/>
    <mergeCell ref="A2:J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K9" sqref="K9"/>
    </sheetView>
  </sheetViews>
  <sheetFormatPr baseColWidth="10" defaultColWidth="9.109375" defaultRowHeight="14.4" x14ac:dyDescent="0.3"/>
  <cols>
    <col min="1" max="10" width="10.44140625" style="19" customWidth="1"/>
  </cols>
  <sheetData>
    <row r="1" spans="1:13" x14ac:dyDescent="0.3">
      <c r="A1" s="127" t="s">
        <v>36</v>
      </c>
      <c r="B1" s="127"/>
      <c r="C1" s="127"/>
      <c r="D1" s="127"/>
      <c r="E1" s="127"/>
      <c r="F1" s="127"/>
      <c r="G1" s="127"/>
      <c r="H1" s="127"/>
      <c r="I1" s="127"/>
      <c r="J1" s="127"/>
      <c r="K1" s="2"/>
    </row>
    <row r="2" spans="1:13" x14ac:dyDescent="0.3">
      <c r="A2" s="127" t="s">
        <v>75</v>
      </c>
      <c r="B2" s="127"/>
      <c r="C2" s="127"/>
      <c r="D2" s="127"/>
      <c r="E2" s="127"/>
      <c r="F2" s="127"/>
      <c r="G2" s="127"/>
      <c r="H2" s="127"/>
      <c r="I2" s="127"/>
      <c r="J2" s="127"/>
      <c r="K2" s="2"/>
    </row>
    <row r="3" spans="1:13" x14ac:dyDescent="0.3">
      <c r="K3" s="2"/>
    </row>
    <row r="4" spans="1:13" ht="15.6" x14ac:dyDescent="0.3">
      <c r="A4" s="140" t="s">
        <v>62</v>
      </c>
      <c r="B4" s="140" t="s">
        <v>63</v>
      </c>
      <c r="C4" s="140" t="s">
        <v>64</v>
      </c>
      <c r="D4" s="140" t="s">
        <v>65</v>
      </c>
      <c r="E4" s="140" t="s">
        <v>66</v>
      </c>
      <c r="F4" s="140" t="s">
        <v>67</v>
      </c>
      <c r="G4" s="140" t="s">
        <v>68</v>
      </c>
      <c r="H4" s="140" t="s">
        <v>69</v>
      </c>
      <c r="I4" s="140" t="s">
        <v>70</v>
      </c>
      <c r="J4" s="140" t="s">
        <v>71</v>
      </c>
      <c r="K4" s="140" t="s">
        <v>72</v>
      </c>
      <c r="L4" s="140" t="s">
        <v>73</v>
      </c>
      <c r="M4" s="140"/>
    </row>
    <row r="5" spans="1:13" x14ac:dyDescent="0.3">
      <c r="A5" s="141">
        <v>0</v>
      </c>
      <c r="B5" s="141">
        <v>1</v>
      </c>
      <c r="C5" s="142">
        <v>61523</v>
      </c>
      <c r="D5" s="142">
        <v>689</v>
      </c>
      <c r="E5" s="143">
        <f>D5/C5</f>
        <v>1.1199063764770898E-2</v>
      </c>
      <c r="F5" s="144">
        <f>0.053 + 2.8 * E5</f>
        <v>8.435737854135851E-2</v>
      </c>
      <c r="G5" s="143">
        <f>(B5*E5)/(1+(B5-F5)*E5)</f>
        <v>1.1085390401415185E-2</v>
      </c>
      <c r="H5" s="143">
        <f>1-G5</f>
        <v>0.98891460959858479</v>
      </c>
      <c r="I5" s="145">
        <v>100000</v>
      </c>
      <c r="J5" s="145">
        <f>I5*G5</f>
        <v>1108.5390401415184</v>
      </c>
      <c r="K5" s="145">
        <f>(B5*I6)+(F5*J5)</f>
        <v>98984.974407295565</v>
      </c>
      <c r="L5" s="145">
        <f>K5+L6</f>
        <v>7786572.1082862234</v>
      </c>
      <c r="M5" s="146">
        <f>L5/I5</f>
        <v>77.865721082862237</v>
      </c>
    </row>
    <row r="6" spans="1:13" x14ac:dyDescent="0.3">
      <c r="A6" s="147">
        <v>1</v>
      </c>
      <c r="B6" s="147">
        <v>4</v>
      </c>
      <c r="C6" s="142">
        <v>60517</v>
      </c>
      <c r="D6" s="148">
        <v>72</v>
      </c>
      <c r="E6" s="143">
        <f t="shared" ref="E6:E23" si="0">D6/C6</f>
        <v>1.1897483351785449E-3</v>
      </c>
      <c r="F6" s="149">
        <f>1.522 - 1.518 * E5</f>
        <v>1.5049998212050777</v>
      </c>
      <c r="G6" s="143">
        <f>(B6*E6)/(1+(B6-F6)*E6)</f>
        <v>4.7449084486211705E-3</v>
      </c>
      <c r="H6" s="143">
        <f t="shared" ref="H6:H23" si="1">1-G6</f>
        <v>0.99525509155137881</v>
      </c>
      <c r="I6" s="145">
        <f>I5*H5</f>
        <v>98891.460959858479</v>
      </c>
      <c r="J6" s="145">
        <f t="shared" ref="J6:J23" si="2">I6*G6</f>
        <v>469.23092860492312</v>
      </c>
      <c r="K6" s="145">
        <f>(B6*I7)+(F6*J6)</f>
        <v>394395.11258866853</v>
      </c>
      <c r="L6" s="145">
        <f>K6+L7</f>
        <v>7687587.1338789277</v>
      </c>
      <c r="M6" s="146">
        <f>L6/I6</f>
        <v>77.737623241297186</v>
      </c>
    </row>
    <row r="7" spans="1:13" x14ac:dyDescent="0.3">
      <c r="A7" s="147">
        <v>5</v>
      </c>
      <c r="B7" s="147">
        <v>5</v>
      </c>
      <c r="C7" s="137">
        <v>303890</v>
      </c>
      <c r="D7" s="148">
        <v>57</v>
      </c>
      <c r="E7" s="143">
        <f t="shared" si="0"/>
        <v>1.8756786995294351E-4</v>
      </c>
      <c r="F7" s="143">
        <f>B7/2</f>
        <v>2.5</v>
      </c>
      <c r="G7" s="143">
        <f>(B7*E7)/(1+(B7-F7)*E7)</f>
        <v>9.3739978456250568E-4</v>
      </c>
      <c r="H7" s="143">
        <f t="shared" si="1"/>
        <v>0.99906260021543747</v>
      </c>
      <c r="I7" s="145">
        <f t="shared" ref="I7:I22" si="3">I6*H6</f>
        <v>98422.230031253552</v>
      </c>
      <c r="J7" s="145">
        <f t="shared" si="2"/>
        <v>92.260977227458454</v>
      </c>
      <c r="K7" s="145">
        <f>(B7*I8)+(F7*J7)</f>
        <v>491880.49771319906</v>
      </c>
      <c r="L7" s="145">
        <f t="shared" ref="L7:L21" si="4">K7+L8</f>
        <v>7293192.0212902594</v>
      </c>
      <c r="M7" s="146">
        <f t="shared" ref="M7:M23" si="5">L7/I7</f>
        <v>74.101064555988401</v>
      </c>
    </row>
    <row r="8" spans="1:13" x14ac:dyDescent="0.3">
      <c r="A8" s="147">
        <v>10</v>
      </c>
      <c r="B8" s="147">
        <v>5</v>
      </c>
      <c r="C8" s="137">
        <v>311088</v>
      </c>
      <c r="D8" s="148">
        <v>73</v>
      </c>
      <c r="E8" s="143">
        <f t="shared" si="0"/>
        <v>2.3466028905004373E-4</v>
      </c>
      <c r="F8" s="143">
        <f t="shared" ref="F8:F23" si="6">B8/2</f>
        <v>2.5</v>
      </c>
      <c r="G8" s="143">
        <f t="shared" ref="G8:G22" si="7">(B8*E8)/(1+(B8-F8)*E8)</f>
        <v>1.1726135306750882E-3</v>
      </c>
      <c r="H8" s="143">
        <f t="shared" si="1"/>
        <v>0.9988273864693249</v>
      </c>
      <c r="I8" s="145">
        <f t="shared" si="3"/>
        <v>98329.969054026093</v>
      </c>
      <c r="J8" s="145">
        <f t="shared" si="2"/>
        <v>115.3030521836137</v>
      </c>
      <c r="K8" s="145">
        <f t="shared" ref="K8:K20" si="8">(B8*I9)+(F8*J8)</f>
        <v>491361.5876396714</v>
      </c>
      <c r="L8" s="145">
        <f t="shared" si="4"/>
        <v>6801311.5235770606</v>
      </c>
      <c r="M8" s="146">
        <f t="shared" si="5"/>
        <v>69.168246354681258</v>
      </c>
    </row>
    <row r="9" spans="1:13" x14ac:dyDescent="0.3">
      <c r="A9" s="141">
        <v>15</v>
      </c>
      <c r="B9" s="147">
        <v>5</v>
      </c>
      <c r="C9" s="137">
        <v>314520</v>
      </c>
      <c r="D9" s="148">
        <v>145</v>
      </c>
      <c r="E9" s="143">
        <f t="shared" si="0"/>
        <v>4.6101996693374028E-4</v>
      </c>
      <c r="F9" s="143">
        <f t="shared" si="6"/>
        <v>2.5</v>
      </c>
      <c r="G9" s="143">
        <f t="shared" si="7"/>
        <v>2.3024461505482203E-3</v>
      </c>
      <c r="H9" s="143">
        <f t="shared" si="1"/>
        <v>0.9976975538494518</v>
      </c>
      <c r="I9" s="145">
        <f t="shared" si="3"/>
        <v>98214.666001842474</v>
      </c>
      <c r="J9" s="145">
        <f t="shared" si="2"/>
        <v>226.13397966332136</v>
      </c>
      <c r="K9" s="145">
        <f t="shared" si="8"/>
        <v>490507.99506005406</v>
      </c>
      <c r="L9" s="145">
        <f t="shared" si="4"/>
        <v>6309949.9359373888</v>
      </c>
      <c r="M9" s="146">
        <f t="shared" si="5"/>
        <v>64.246514220381471</v>
      </c>
    </row>
    <row r="10" spans="1:13" x14ac:dyDescent="0.3">
      <c r="A10" s="141">
        <v>20</v>
      </c>
      <c r="B10" s="147">
        <v>5</v>
      </c>
      <c r="C10" s="137">
        <v>305706</v>
      </c>
      <c r="D10" s="148">
        <v>154</v>
      </c>
      <c r="E10" s="143">
        <f t="shared" si="0"/>
        <v>5.0375197084780805E-4</v>
      </c>
      <c r="F10" s="143">
        <f t="shared" si="6"/>
        <v>2.5</v>
      </c>
      <c r="G10" s="143">
        <f t="shared" si="7"/>
        <v>2.5155917684610138E-3</v>
      </c>
      <c r="H10" s="143">
        <f t="shared" si="1"/>
        <v>0.99748440823153894</v>
      </c>
      <c r="I10" s="145">
        <f t="shared" si="3"/>
        <v>97988.532022179148</v>
      </c>
      <c r="J10" s="145">
        <f t="shared" si="2"/>
        <v>246.49914455857231</v>
      </c>
      <c r="K10" s="145">
        <f t="shared" si="8"/>
        <v>489326.41224949923</v>
      </c>
      <c r="L10" s="145">
        <f t="shared" si="4"/>
        <v>5819441.9408773351</v>
      </c>
      <c r="M10" s="146">
        <f t="shared" si="5"/>
        <v>59.389010333986199</v>
      </c>
    </row>
    <row r="11" spans="1:13" x14ac:dyDescent="0.3">
      <c r="A11" s="141">
        <v>25</v>
      </c>
      <c r="B11" s="147">
        <v>5</v>
      </c>
      <c r="C11" s="137">
        <v>291099</v>
      </c>
      <c r="D11" s="148">
        <v>195</v>
      </c>
      <c r="E11" s="143">
        <f t="shared" si="0"/>
        <v>6.6987519709789454E-4</v>
      </c>
      <c r="F11" s="143">
        <f t="shared" si="6"/>
        <v>2.5</v>
      </c>
      <c r="G11" s="143">
        <f t="shared" si="7"/>
        <v>3.3437762036308267E-3</v>
      </c>
      <c r="H11" s="143">
        <f t="shared" si="1"/>
        <v>0.9966562237963692</v>
      </c>
      <c r="I11" s="145">
        <f t="shared" si="3"/>
        <v>97742.032877620572</v>
      </c>
      <c r="J11" s="145">
        <f t="shared" si="2"/>
        <v>326.82748363068958</v>
      </c>
      <c r="K11" s="145">
        <f t="shared" si="8"/>
        <v>487893.09567902621</v>
      </c>
      <c r="L11" s="145">
        <f t="shared" si="4"/>
        <v>5330115.5286278361</v>
      </c>
      <c r="M11" s="146">
        <f t="shared" si="5"/>
        <v>54.532480773154063</v>
      </c>
    </row>
    <row r="12" spans="1:13" x14ac:dyDescent="0.3">
      <c r="A12" s="141">
        <v>30</v>
      </c>
      <c r="B12" s="147">
        <v>5</v>
      </c>
      <c r="C12" s="137">
        <v>262743</v>
      </c>
      <c r="D12" s="148">
        <v>207</v>
      </c>
      <c r="E12" s="143">
        <f t="shared" si="0"/>
        <v>7.8784211187357992E-4</v>
      </c>
      <c r="F12" s="143">
        <f t="shared" si="6"/>
        <v>2.5</v>
      </c>
      <c r="G12" s="143">
        <f t="shared" si="7"/>
        <v>3.931467120969534E-3</v>
      </c>
      <c r="H12" s="143">
        <f t="shared" si="1"/>
        <v>0.99606853287903041</v>
      </c>
      <c r="I12" s="145">
        <f t="shared" si="3"/>
        <v>97415.205393989891</v>
      </c>
      <c r="J12" s="145">
        <f t="shared" si="2"/>
        <v>382.98467708896527</v>
      </c>
      <c r="K12" s="145">
        <f t="shared" si="8"/>
        <v>486118.56527722697</v>
      </c>
      <c r="L12" s="145">
        <f t="shared" si="4"/>
        <v>4842222.43294881</v>
      </c>
      <c r="M12" s="146">
        <f t="shared" si="5"/>
        <v>49.707049462809579</v>
      </c>
    </row>
    <row r="13" spans="1:13" x14ac:dyDescent="0.3">
      <c r="A13" s="141">
        <v>35</v>
      </c>
      <c r="B13" s="147">
        <v>5</v>
      </c>
      <c r="C13" s="137">
        <v>238652</v>
      </c>
      <c r="D13" s="148">
        <v>288</v>
      </c>
      <c r="E13" s="143">
        <f t="shared" si="0"/>
        <v>1.2067780701607361E-3</v>
      </c>
      <c r="F13" s="143">
        <f t="shared" si="6"/>
        <v>2.5</v>
      </c>
      <c r="G13" s="143">
        <f t="shared" si="7"/>
        <v>6.0157411894457159E-3</v>
      </c>
      <c r="H13" s="143">
        <f t="shared" si="1"/>
        <v>0.9939842588105543</v>
      </c>
      <c r="I13" s="145">
        <f t="shared" si="3"/>
        <v>97032.22071690092</v>
      </c>
      <c r="J13" s="145">
        <f t="shared" si="2"/>
        <v>583.72072687004879</v>
      </c>
      <c r="K13" s="145">
        <f t="shared" si="8"/>
        <v>483701.80176732951</v>
      </c>
      <c r="L13" s="145">
        <f t="shared" si="4"/>
        <v>4356103.8676715828</v>
      </c>
      <c r="M13" s="146">
        <f t="shared" si="5"/>
        <v>44.893374958209563</v>
      </c>
    </row>
    <row r="14" spans="1:13" x14ac:dyDescent="0.3">
      <c r="A14" s="141">
        <v>40</v>
      </c>
      <c r="B14" s="147">
        <v>5</v>
      </c>
      <c r="C14" s="137">
        <v>221454</v>
      </c>
      <c r="D14" s="148">
        <v>437</v>
      </c>
      <c r="E14" s="143">
        <f t="shared" si="0"/>
        <v>1.9733217733705418E-3</v>
      </c>
      <c r="F14" s="143">
        <f t="shared" si="6"/>
        <v>2.5</v>
      </c>
      <c r="G14" s="143">
        <f t="shared" si="7"/>
        <v>9.8181728312959297E-3</v>
      </c>
      <c r="H14" s="143">
        <f t="shared" si="1"/>
        <v>0.99018182716870407</v>
      </c>
      <c r="I14" s="145">
        <f t="shared" si="3"/>
        <v>96448.499990030876</v>
      </c>
      <c r="J14" s="145">
        <f t="shared" si="2"/>
        <v>946.9480422213669</v>
      </c>
      <c r="K14" s="145">
        <f t="shared" si="8"/>
        <v>479875.12984460098</v>
      </c>
      <c r="L14" s="145">
        <f t="shared" si="4"/>
        <v>3872402.0659042536</v>
      </c>
      <c r="M14" s="146">
        <f t="shared" si="5"/>
        <v>40.149945995059682</v>
      </c>
    </row>
    <row r="15" spans="1:13" x14ac:dyDescent="0.3">
      <c r="A15" s="141">
        <v>45</v>
      </c>
      <c r="B15" s="147">
        <v>5</v>
      </c>
      <c r="C15" s="137">
        <v>200458</v>
      </c>
      <c r="D15" s="150">
        <v>584</v>
      </c>
      <c r="E15" s="143">
        <f t="shared" si="0"/>
        <v>2.9133284777858705E-3</v>
      </c>
      <c r="F15" s="143">
        <f t="shared" si="6"/>
        <v>2.5</v>
      </c>
      <c r="G15" s="143">
        <f t="shared" si="7"/>
        <v>1.4461315979754157E-2</v>
      </c>
      <c r="H15" s="143">
        <f t="shared" si="1"/>
        <v>0.9855386840202458</v>
      </c>
      <c r="I15" s="145">
        <f t="shared" si="3"/>
        <v>95501.551947809508</v>
      </c>
      <c r="J15" s="145">
        <f t="shared" si="2"/>
        <v>1381.0781192741795</v>
      </c>
      <c r="K15" s="145">
        <f t="shared" si="8"/>
        <v>474055.06444086204</v>
      </c>
      <c r="L15" s="145">
        <f t="shared" si="4"/>
        <v>3392526.9360596528</v>
      </c>
      <c r="M15" s="146">
        <f t="shared" si="5"/>
        <v>35.523264982265729</v>
      </c>
    </row>
    <row r="16" spans="1:13" x14ac:dyDescent="0.3">
      <c r="A16" s="141">
        <v>50</v>
      </c>
      <c r="B16" s="147">
        <v>5</v>
      </c>
      <c r="C16" s="137">
        <v>169598</v>
      </c>
      <c r="D16" s="150">
        <v>780</v>
      </c>
      <c r="E16" s="143">
        <f t="shared" si="0"/>
        <v>4.5991108385712099E-3</v>
      </c>
      <c r="F16" s="143">
        <f t="shared" si="6"/>
        <v>2.5</v>
      </c>
      <c r="G16" s="143">
        <f t="shared" si="7"/>
        <v>2.2734161867232497E-2</v>
      </c>
      <c r="H16" s="143">
        <f t="shared" si="1"/>
        <v>0.97726583813276746</v>
      </c>
      <c r="I16" s="145">
        <f t="shared" si="3"/>
        <v>94120.473828535323</v>
      </c>
      <c r="J16" s="145">
        <f t="shared" si="2"/>
        <v>2139.750087038542</v>
      </c>
      <c r="K16" s="145">
        <f t="shared" si="8"/>
        <v>465252.99392508029</v>
      </c>
      <c r="L16" s="145">
        <f t="shared" si="4"/>
        <v>2918471.871618791</v>
      </c>
      <c r="M16" s="146">
        <f t="shared" si="5"/>
        <v>31.007832333436177</v>
      </c>
    </row>
    <row r="17" spans="1:13" x14ac:dyDescent="0.3">
      <c r="A17" s="141">
        <v>55</v>
      </c>
      <c r="B17" s="147">
        <v>5</v>
      </c>
      <c r="C17" s="137">
        <v>141335</v>
      </c>
      <c r="D17" s="150">
        <v>1070</v>
      </c>
      <c r="E17" s="143">
        <f t="shared" si="0"/>
        <v>7.5706654402660344E-3</v>
      </c>
      <c r="F17" s="143">
        <f t="shared" si="6"/>
        <v>2.5</v>
      </c>
      <c r="G17" s="143">
        <f t="shared" si="7"/>
        <v>3.7150197902923413E-2</v>
      </c>
      <c r="H17" s="143">
        <f t="shared" si="1"/>
        <v>0.9628498020970766</v>
      </c>
      <c r="I17" s="145">
        <f t="shared" si="3"/>
        <v>91980.723741496782</v>
      </c>
      <c r="J17" s="145">
        <f t="shared" si="2"/>
        <v>3417.1020902507316</v>
      </c>
      <c r="K17" s="145">
        <f t="shared" si="8"/>
        <v>451360.86348185706</v>
      </c>
      <c r="L17" s="145">
        <f t="shared" si="4"/>
        <v>2453218.8776937108</v>
      </c>
      <c r="M17" s="146">
        <f t="shared" si="5"/>
        <v>26.67101081513832</v>
      </c>
    </row>
    <row r="18" spans="1:13" x14ac:dyDescent="0.3">
      <c r="A18" s="141">
        <v>60</v>
      </c>
      <c r="B18" s="147">
        <v>5</v>
      </c>
      <c r="C18" s="137">
        <v>112369</v>
      </c>
      <c r="D18" s="150">
        <v>1286</v>
      </c>
      <c r="E18" s="143">
        <f t="shared" si="0"/>
        <v>1.1444437522804333E-2</v>
      </c>
      <c r="F18" s="143">
        <f t="shared" si="6"/>
        <v>2.5</v>
      </c>
      <c r="G18" s="143">
        <f t="shared" si="7"/>
        <v>5.5630537098560355E-2</v>
      </c>
      <c r="H18" s="143">
        <f t="shared" si="1"/>
        <v>0.94436946290143964</v>
      </c>
      <c r="I18" s="145">
        <f t="shared" si="3"/>
        <v>88563.621651246052</v>
      </c>
      <c r="J18" s="145">
        <f t="shared" si="2"/>
        <v>4926.8418398525064</v>
      </c>
      <c r="K18" s="145">
        <f t="shared" si="8"/>
        <v>430501.00365659897</v>
      </c>
      <c r="L18" s="145">
        <f t="shared" si="4"/>
        <v>2001858.014211854</v>
      </c>
      <c r="M18" s="146">
        <f t="shared" si="5"/>
        <v>22.603615083571832</v>
      </c>
    </row>
    <row r="19" spans="1:13" x14ac:dyDescent="0.3">
      <c r="A19" s="141">
        <v>65</v>
      </c>
      <c r="B19" s="147">
        <v>5</v>
      </c>
      <c r="C19" s="137">
        <v>85111</v>
      </c>
      <c r="D19" s="150">
        <v>1489</v>
      </c>
      <c r="E19" s="143">
        <f t="shared" si="0"/>
        <v>1.7494800907050793E-2</v>
      </c>
      <c r="F19" s="143">
        <f t="shared" si="6"/>
        <v>2.5</v>
      </c>
      <c r="G19" s="143">
        <f t="shared" si="7"/>
        <v>8.3808473154834626E-2</v>
      </c>
      <c r="H19" s="143">
        <f t="shared" si="1"/>
        <v>0.91619152684516536</v>
      </c>
      <c r="I19" s="145">
        <f t="shared" si="3"/>
        <v>83636.779811393542</v>
      </c>
      <c r="J19" s="145">
        <f t="shared" si="2"/>
        <v>7009.4708155799899</v>
      </c>
      <c r="K19" s="145">
        <f t="shared" si="8"/>
        <v>400660.22201801772</v>
      </c>
      <c r="L19" s="145">
        <f t="shared" si="4"/>
        <v>1571357.010555255</v>
      </c>
      <c r="M19" s="146">
        <f t="shared" si="5"/>
        <v>18.787870768085149</v>
      </c>
    </row>
    <row r="20" spans="1:13" x14ac:dyDescent="0.3">
      <c r="A20" s="141">
        <v>70</v>
      </c>
      <c r="B20" s="147">
        <v>5</v>
      </c>
      <c r="C20" s="137">
        <v>66369</v>
      </c>
      <c r="D20" s="150">
        <v>1696</v>
      </c>
      <c r="E20" s="143">
        <f t="shared" si="0"/>
        <v>2.5554099052268377E-2</v>
      </c>
      <c r="F20" s="143">
        <f t="shared" si="6"/>
        <v>2.5</v>
      </c>
      <c r="G20" s="143">
        <f t="shared" si="7"/>
        <v>0.12009800450367514</v>
      </c>
      <c r="H20" s="143">
        <f t="shared" si="1"/>
        <v>0.87990199549632486</v>
      </c>
      <c r="I20" s="145">
        <f t="shared" si="3"/>
        <v>76627.308995813553</v>
      </c>
      <c r="J20" s="145">
        <f t="shared" si="2"/>
        <v>9202.7869008837224</v>
      </c>
      <c r="K20" s="145">
        <f t="shared" si="8"/>
        <v>360129.57772685844</v>
      </c>
      <c r="L20" s="145">
        <f t="shared" si="4"/>
        <v>1170696.7885372373</v>
      </c>
      <c r="M20" s="146">
        <f t="shared" si="5"/>
        <v>15.277801137466501</v>
      </c>
    </row>
    <row r="21" spans="1:13" x14ac:dyDescent="0.3">
      <c r="A21" s="141">
        <v>75</v>
      </c>
      <c r="B21" s="147">
        <v>5</v>
      </c>
      <c r="C21" s="137">
        <v>48885</v>
      </c>
      <c r="D21" s="150">
        <v>1837</v>
      </c>
      <c r="E21" s="143">
        <f t="shared" si="0"/>
        <v>3.7577989158228499E-2</v>
      </c>
      <c r="F21" s="143">
        <f t="shared" si="6"/>
        <v>2.5</v>
      </c>
      <c r="G21" s="143">
        <f t="shared" si="7"/>
        <v>0.17175447618157169</v>
      </c>
      <c r="H21" s="143">
        <f t="shared" si="1"/>
        <v>0.82824552381842831</v>
      </c>
      <c r="I21" s="145">
        <f t="shared" si="3"/>
        <v>67424.522094929824</v>
      </c>
      <c r="J21" s="145">
        <f t="shared" si="2"/>
        <v>11580.46347420748</v>
      </c>
      <c r="K21" s="145">
        <f>(B21*I22)+(F21*J21)</f>
        <v>308171.45178913046</v>
      </c>
      <c r="L21" s="145">
        <f t="shared" si="4"/>
        <v>810567.21081037889</v>
      </c>
      <c r="M21" s="146">
        <f t="shared" si="5"/>
        <v>12.021845845182961</v>
      </c>
    </row>
    <row r="22" spans="1:13" x14ac:dyDescent="0.3">
      <c r="A22" s="141">
        <v>80</v>
      </c>
      <c r="B22" s="147">
        <v>5</v>
      </c>
      <c r="C22" s="137">
        <v>32500</v>
      </c>
      <c r="D22" s="150">
        <v>2289</v>
      </c>
      <c r="E22" s="143">
        <f t="shared" si="0"/>
        <v>7.0430769230769227E-2</v>
      </c>
      <c r="F22" s="143">
        <f t="shared" si="6"/>
        <v>2.5</v>
      </c>
      <c r="G22" s="143">
        <f t="shared" si="7"/>
        <v>0.29943096343776571</v>
      </c>
      <c r="H22" s="143">
        <f t="shared" si="1"/>
        <v>0.70056903656223435</v>
      </c>
      <c r="I22" s="145">
        <f t="shared" si="3"/>
        <v>55844.058620722346</v>
      </c>
      <c r="J22" s="145">
        <f t="shared" si="2"/>
        <v>16721.440275077959</v>
      </c>
      <c r="K22" s="145">
        <f t="shared" ref="K22" si="9">(B22*I23)+(F22*J22)</f>
        <v>237416.69241591683</v>
      </c>
      <c r="L22" s="145">
        <f>K22+L23</f>
        <v>502395.75902124844</v>
      </c>
      <c r="M22" s="146">
        <f t="shared" si="5"/>
        <v>8.9964048357119548</v>
      </c>
    </row>
    <row r="23" spans="1:13" x14ac:dyDescent="0.3">
      <c r="A23" s="141" t="s">
        <v>74</v>
      </c>
      <c r="B23" s="147">
        <v>5</v>
      </c>
      <c r="C23" s="137">
        <v>30499</v>
      </c>
      <c r="D23" s="150">
        <v>4503</v>
      </c>
      <c r="E23" s="143">
        <f t="shared" si="0"/>
        <v>0.14764418505524771</v>
      </c>
      <c r="F23" s="143">
        <f t="shared" si="6"/>
        <v>2.5</v>
      </c>
      <c r="G23" s="143">
        <v>1</v>
      </c>
      <c r="H23" s="143">
        <f t="shared" si="1"/>
        <v>0</v>
      </c>
      <c r="I23" s="145">
        <f>I22*H22</f>
        <v>39122.618345644391</v>
      </c>
      <c r="J23" s="145">
        <f t="shared" si="2"/>
        <v>39122.618345644391</v>
      </c>
      <c r="K23" s="145">
        <f>I23/E23</f>
        <v>264979.06660533161</v>
      </c>
      <c r="L23" s="145">
        <f>I23/E23</f>
        <v>264979.06660533161</v>
      </c>
      <c r="M23" s="146">
        <f t="shared" si="5"/>
        <v>6.7730401954252715</v>
      </c>
    </row>
    <row r="24" spans="1:13" x14ac:dyDescent="0.3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"/>
    </row>
    <row r="25" spans="1:13" x14ac:dyDescent="0.3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"/>
    </row>
    <row r="26" spans="1:13" x14ac:dyDescent="0.3">
      <c r="A26" s="40"/>
      <c r="B26" s="40"/>
      <c r="C26" s="40"/>
      <c r="D26" s="41"/>
      <c r="E26" s="40"/>
      <c r="F26" s="40"/>
      <c r="G26" s="40"/>
      <c r="H26" s="40"/>
      <c r="I26" s="40"/>
      <c r="J26" s="40"/>
      <c r="K26" s="2"/>
    </row>
    <row r="27" spans="1:13" x14ac:dyDescent="0.3">
      <c r="A27" s="42"/>
      <c r="K27" s="2"/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53"/>
  <sheetViews>
    <sheetView tabSelected="1" zoomScale="64" zoomScaleNormal="100" workbookViewId="0">
      <selection activeCell="L13" sqref="L13"/>
    </sheetView>
  </sheetViews>
  <sheetFormatPr baseColWidth="10" defaultColWidth="11.44140625" defaultRowHeight="13.2" x14ac:dyDescent="0.25"/>
  <cols>
    <col min="1" max="1" width="8.77734375" style="19" bestFit="1" customWidth="1"/>
    <col min="2" max="2" width="10.44140625" style="19" customWidth="1"/>
    <col min="3" max="4" width="6.44140625" style="19" customWidth="1"/>
    <col min="5" max="5" width="13.44140625" style="19" customWidth="1"/>
    <col min="6" max="6" width="11.44140625" style="19" bestFit="1" customWidth="1"/>
    <col min="7" max="7" width="11.44140625" style="19"/>
    <col min="8" max="8" width="11.77734375" style="19" bestFit="1" customWidth="1"/>
    <col min="9" max="12" width="11.44140625" style="19"/>
    <col min="13" max="16384" width="11.44140625" style="7"/>
  </cols>
  <sheetData>
    <row r="1" spans="1:15" x14ac:dyDescent="0.25">
      <c r="A1" s="6" t="s">
        <v>58</v>
      </c>
      <c r="I1" s="19" t="s">
        <v>12</v>
      </c>
    </row>
    <row r="2" spans="1:15" x14ac:dyDescent="0.25">
      <c r="A2" s="20"/>
      <c r="B2" s="20"/>
      <c r="C2" s="20"/>
      <c r="D2" s="20"/>
      <c r="E2" s="20"/>
      <c r="F2" s="20"/>
      <c r="G2" s="21"/>
      <c r="H2" s="20"/>
      <c r="I2" s="21">
        <f>39110/80299</f>
        <v>0.4870546333080113</v>
      </c>
      <c r="J2" s="20"/>
      <c r="K2" s="20"/>
      <c r="L2" s="20"/>
      <c r="N2" s="87">
        <f>G27-G12</f>
        <v>-1.5714537731888003</v>
      </c>
    </row>
    <row r="3" spans="1:15" ht="39.6" x14ac:dyDescent="0.3">
      <c r="A3" s="12" t="s">
        <v>0</v>
      </c>
      <c r="B3" s="12" t="s">
        <v>42</v>
      </c>
      <c r="C3" s="12" t="s">
        <v>43</v>
      </c>
      <c r="D3" s="12" t="s">
        <v>44</v>
      </c>
      <c r="E3" s="12" t="s">
        <v>45</v>
      </c>
      <c r="F3" s="13" t="s">
        <v>46</v>
      </c>
      <c r="G3" s="12" t="s">
        <v>47</v>
      </c>
      <c r="H3" s="12" t="s">
        <v>48</v>
      </c>
      <c r="I3" s="12" t="s">
        <v>49</v>
      </c>
      <c r="J3" s="12" t="s">
        <v>50</v>
      </c>
      <c r="K3" s="12" t="s">
        <v>51</v>
      </c>
      <c r="L3" s="12" t="s">
        <v>52</v>
      </c>
      <c r="O3"/>
    </row>
    <row r="4" spans="1:15" ht="14.4" x14ac:dyDescent="0.25">
      <c r="A4" s="8" t="s">
        <v>2</v>
      </c>
      <c r="B4" s="8">
        <v>17.5</v>
      </c>
      <c r="C4" s="22">
        <v>15</v>
      </c>
      <c r="D4" s="22">
        <v>19</v>
      </c>
      <c r="E4" s="139">
        <v>14203</v>
      </c>
      <c r="F4" s="67">
        <v>307908.78334661416</v>
      </c>
      <c r="G4" s="23">
        <f>E4/F4</f>
        <v>4.6127297330169452E-2</v>
      </c>
      <c r="H4" s="24">
        <f t="shared" ref="H4:H10" si="0">G4/$G$11</f>
        <v>0.14676631956079672</v>
      </c>
      <c r="I4" s="25">
        <f>G4*$I$2</f>
        <v>2.246651388663529E-2</v>
      </c>
      <c r="J4" s="151">
        <f>'Cuadro 1'!K9</f>
        <v>482061.72718887788</v>
      </c>
      <c r="K4" s="25">
        <f>J4/(5*100000)</f>
        <v>0.96412345437775571</v>
      </c>
      <c r="L4" s="25">
        <f>K4*I4</f>
        <v>2.1660492976208635E-2</v>
      </c>
    </row>
    <row r="5" spans="1:15" ht="14.4" x14ac:dyDescent="0.25">
      <c r="A5" s="8" t="s">
        <v>3</v>
      </c>
      <c r="B5" s="8">
        <v>22.5</v>
      </c>
      <c r="C5" s="22">
        <v>20</v>
      </c>
      <c r="D5" s="22">
        <v>24</v>
      </c>
      <c r="E5" s="139">
        <v>23995</v>
      </c>
      <c r="F5" s="67">
        <v>273081.31935399951</v>
      </c>
      <c r="G5" s="23">
        <f t="shared" ref="G5:G10" si="1">E5/F5</f>
        <v>8.7867599500260629E-2</v>
      </c>
      <c r="H5" s="24">
        <f t="shared" si="0"/>
        <v>0.27957424201527525</v>
      </c>
      <c r="I5" s="25">
        <f t="shared" ref="I4:I10" si="2">G5*$I$2</f>
        <v>4.2796321454254639E-2</v>
      </c>
      <c r="J5" s="151">
        <f>'Cuadro 1'!K10</f>
        <v>480872.97960701725</v>
      </c>
      <c r="K5" s="25">
        <f t="shared" ref="K5:K9" si="3">J5/(5*100000)</f>
        <v>0.9617459592140345</v>
      </c>
      <c r="L5" s="25">
        <f t="shared" ref="L5:L10" si="4">K5*I5</f>
        <v>4.115918922785429E-2</v>
      </c>
    </row>
    <row r="6" spans="1:15" ht="14.4" x14ac:dyDescent="0.25">
      <c r="A6" s="8" t="s">
        <v>7</v>
      </c>
      <c r="B6" s="8">
        <v>27.5</v>
      </c>
      <c r="C6" s="22">
        <v>25</v>
      </c>
      <c r="D6" s="22">
        <v>29</v>
      </c>
      <c r="E6" s="139">
        <v>20094</v>
      </c>
      <c r="F6" s="67">
        <v>240204.30641459755</v>
      </c>
      <c r="G6" s="23">
        <f t="shared" si="1"/>
        <v>8.3653787477553976E-2</v>
      </c>
      <c r="H6" s="24">
        <f t="shared" si="0"/>
        <v>0.26616687332712108</v>
      </c>
      <c r="I6" s="25">
        <f t="shared" si="2"/>
        <v>4.0743964784706356E-2</v>
      </c>
      <c r="J6" s="151">
        <f>'Cuadro 1'!K11</f>
        <v>479452.14043804834</v>
      </c>
      <c r="K6" s="25">
        <f t="shared" si="3"/>
        <v>0.95890428087609669</v>
      </c>
      <c r="L6" s="25">
        <f t="shared" si="4"/>
        <v>3.9069562251919855E-2</v>
      </c>
    </row>
    <row r="7" spans="1:15" ht="14.4" x14ac:dyDescent="0.25">
      <c r="A7" s="8" t="s">
        <v>9</v>
      </c>
      <c r="B7" s="8">
        <v>32.5</v>
      </c>
      <c r="C7" s="22">
        <v>30</v>
      </c>
      <c r="D7" s="22">
        <v>34</v>
      </c>
      <c r="E7" s="139">
        <v>13457</v>
      </c>
      <c r="F7" s="67">
        <v>229716.0890275237</v>
      </c>
      <c r="G7" s="23">
        <f t="shared" si="1"/>
        <v>5.8581007786475216E-2</v>
      </c>
      <c r="H7" s="24">
        <f t="shared" si="0"/>
        <v>0.18639112643957192</v>
      </c>
      <c r="I7" s="25">
        <f t="shared" si="2"/>
        <v>2.853215126625544E-2</v>
      </c>
      <c r="J7" s="151">
        <f>'Cuadro 1'!K12</f>
        <v>477640.63047678315</v>
      </c>
      <c r="K7" s="25">
        <f t="shared" si="3"/>
        <v>0.95528126095356625</v>
      </c>
      <c r="L7" s="25">
        <f t="shared" si="4"/>
        <v>2.7256229439346389E-2</v>
      </c>
    </row>
    <row r="8" spans="1:15" ht="14.4" x14ac:dyDescent="0.25">
      <c r="A8" s="8" t="s">
        <v>11</v>
      </c>
      <c r="B8" s="8">
        <v>37.5</v>
      </c>
      <c r="C8" s="22">
        <v>35</v>
      </c>
      <c r="D8" s="22">
        <v>39</v>
      </c>
      <c r="E8" s="139">
        <v>6257</v>
      </c>
      <c r="F8" s="67">
        <v>214298.23784498527</v>
      </c>
      <c r="G8" s="23">
        <f t="shared" si="1"/>
        <v>2.9197626928346758E-2</v>
      </c>
      <c r="H8" s="24">
        <f t="shared" si="0"/>
        <v>9.2900050343507137E-2</v>
      </c>
      <c r="I8" s="25">
        <f t="shared" si="2"/>
        <v>1.4220839477050046E-2</v>
      </c>
      <c r="J8" s="151">
        <f>'Cuadro 1'!K13</f>
        <v>475196.83887889731</v>
      </c>
      <c r="K8" s="25">
        <f t="shared" si="3"/>
        <v>0.9503936777577946</v>
      </c>
      <c r="L8" s="25">
        <f t="shared" si="4"/>
        <v>1.3515395931396825E-2</v>
      </c>
    </row>
    <row r="9" spans="1:15" ht="14.4" x14ac:dyDescent="0.25">
      <c r="A9" s="8" t="s">
        <v>14</v>
      </c>
      <c r="B9" s="8">
        <v>42.5</v>
      </c>
      <c r="C9" s="22">
        <v>40</v>
      </c>
      <c r="D9" s="22">
        <v>44</v>
      </c>
      <c r="E9" s="139">
        <v>1432</v>
      </c>
      <c r="F9" s="67">
        <v>179021.5239979816</v>
      </c>
      <c r="G9" s="23">
        <f t="shared" si="1"/>
        <v>7.9990381492682713E-3</v>
      </c>
      <c r="H9" s="24">
        <f t="shared" si="0"/>
        <v>2.5451076849166841E-2</v>
      </c>
      <c r="I9" s="25">
        <f t="shared" si="2"/>
        <v>3.895968592608651E-3</v>
      </c>
      <c r="J9" s="151">
        <f>'Cuadro 1'!K14</f>
        <v>471613.74766168511</v>
      </c>
      <c r="K9" s="25">
        <f t="shared" si="3"/>
        <v>0.94322749532337025</v>
      </c>
      <c r="L9" s="25">
        <f t="shared" si="4"/>
        <v>3.6747846974647738E-3</v>
      </c>
    </row>
    <row r="10" spans="1:15" ht="14.4" x14ac:dyDescent="0.25">
      <c r="A10" s="8" t="s">
        <v>15</v>
      </c>
      <c r="B10" s="8">
        <v>47.5</v>
      </c>
      <c r="C10" s="22">
        <v>45</v>
      </c>
      <c r="D10" s="22">
        <v>49</v>
      </c>
      <c r="E10" s="138">
        <v>131</v>
      </c>
      <c r="F10" s="67">
        <v>151550.65256476699</v>
      </c>
      <c r="G10" s="23">
        <f t="shared" si="1"/>
        <v>8.6439746568570911E-4</v>
      </c>
      <c r="H10" s="24">
        <f>G10/$G$11</f>
        <v>2.7503114645608387E-3</v>
      </c>
      <c r="I10" s="25">
        <f t="shared" si="2"/>
        <v>4.2100879068192733E-4</v>
      </c>
      <c r="J10" s="151">
        <f>'Cuadro 1'!K15</f>
        <v>466103.91595869372</v>
      </c>
      <c r="K10" s="25">
        <f>J10/(5*100000)</f>
        <v>0.93220783191738743</v>
      </c>
      <c r="L10" s="25">
        <f t="shared" si="4"/>
        <v>3.9246769197976068E-4</v>
      </c>
    </row>
    <row r="11" spans="1:15" x14ac:dyDescent="0.25">
      <c r="A11" s="26" t="s">
        <v>6</v>
      </c>
      <c r="B11" s="27"/>
      <c r="C11" s="27"/>
      <c r="D11" s="27"/>
      <c r="E11" s="14"/>
      <c r="F11" s="15"/>
      <c r="G11" s="28">
        <f>SUM(G4:G10)</f>
        <v>0.31429075463776007</v>
      </c>
      <c r="H11" s="29"/>
      <c r="I11" s="29"/>
      <c r="J11" s="30"/>
      <c r="K11" s="30"/>
      <c r="L11" s="31">
        <f>SUM(L4:L10)</f>
        <v>0.14672812221617051</v>
      </c>
    </row>
    <row r="12" spans="1:15" x14ac:dyDescent="0.25">
      <c r="A12" s="32"/>
      <c r="B12" s="32"/>
      <c r="C12" s="32"/>
      <c r="D12" s="32"/>
      <c r="E12" s="32"/>
      <c r="F12" s="33" t="s">
        <v>39</v>
      </c>
      <c r="G12" s="34">
        <f>SUM(G4:G10)*5</f>
        <v>1.5714537731888003</v>
      </c>
      <c r="H12" s="35"/>
    </row>
    <row r="13" spans="1:15" x14ac:dyDescent="0.25">
      <c r="F13" s="36" t="s">
        <v>40</v>
      </c>
      <c r="G13" s="82"/>
      <c r="H13" s="37"/>
      <c r="I13" s="90">
        <f>G12*I2</f>
        <v>0.76538384126096193</v>
      </c>
      <c r="K13" s="91" t="s">
        <v>53</v>
      </c>
      <c r="L13" s="90">
        <f>G12*Puebla!Q8</f>
        <v>0.76538384126096193</v>
      </c>
    </row>
    <row r="14" spans="1:15" x14ac:dyDescent="0.25">
      <c r="F14" s="36" t="s">
        <v>41</v>
      </c>
      <c r="G14" s="38"/>
      <c r="H14" s="39"/>
      <c r="I14" s="39"/>
      <c r="J14" s="39"/>
      <c r="K14" s="39"/>
      <c r="L14" s="34">
        <f>L11*5</f>
        <v>0.73364061108085254</v>
      </c>
    </row>
    <row r="16" spans="1:15" x14ac:dyDescent="0.25">
      <c r="A16" s="6"/>
    </row>
    <row r="17" spans="1:16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1:16" ht="14.4" x14ac:dyDescent="0.3">
      <c r="A18"/>
      <c r="B18"/>
      <c r="C18"/>
      <c r="D18"/>
      <c r="E18"/>
      <c r="F18"/>
      <c r="G18"/>
      <c r="H18"/>
      <c r="I18"/>
      <c r="J18"/>
      <c r="K18"/>
      <c r="L18"/>
    </row>
    <row r="19" spans="1:16" ht="14.4" x14ac:dyDescent="0.3">
      <c r="A19"/>
      <c r="B19"/>
      <c r="C19"/>
      <c r="D19"/>
      <c r="E19"/>
      <c r="F19"/>
      <c r="G19"/>
      <c r="H19"/>
      <c r="I19"/>
      <c r="J19"/>
      <c r="K19"/>
      <c r="L19"/>
    </row>
    <row r="20" spans="1:16" ht="14.4" x14ac:dyDescent="0.3">
      <c r="A20"/>
      <c r="B20"/>
      <c r="C20"/>
      <c r="D20"/>
      <c r="E20"/>
      <c r="F20"/>
      <c r="G20"/>
      <c r="H20"/>
      <c r="I20"/>
      <c r="J20"/>
      <c r="K20"/>
      <c r="L20"/>
    </row>
    <row r="21" spans="1:16" ht="14.4" x14ac:dyDescent="0.3">
      <c r="A21"/>
      <c r="B21"/>
      <c r="C21"/>
      <c r="D21"/>
      <c r="E21"/>
      <c r="F21"/>
      <c r="G21"/>
      <c r="H21"/>
      <c r="I21"/>
      <c r="J21"/>
      <c r="K21"/>
      <c r="L21"/>
      <c r="O21" s="112"/>
      <c r="P21" s="112"/>
    </row>
    <row r="22" spans="1:16" ht="14.4" x14ac:dyDescent="0.3">
      <c r="A22"/>
      <c r="B22"/>
      <c r="C22"/>
      <c r="D22"/>
      <c r="E22"/>
      <c r="F22"/>
      <c r="G22"/>
      <c r="H22"/>
      <c r="I22"/>
      <c r="J22"/>
      <c r="K22"/>
      <c r="L22"/>
      <c r="O22" s="112"/>
      <c r="P22" s="112"/>
    </row>
    <row r="23" spans="1:16" ht="14.4" x14ac:dyDescent="0.3">
      <c r="A23"/>
      <c r="B23"/>
      <c r="C23"/>
      <c r="D23"/>
      <c r="E23"/>
      <c r="F23"/>
      <c r="G23"/>
      <c r="H23"/>
      <c r="I23"/>
      <c r="J23"/>
      <c r="K23"/>
      <c r="L23"/>
      <c r="O23" s="112"/>
      <c r="P23" s="112"/>
    </row>
    <row r="24" spans="1:16" ht="14.4" x14ac:dyDescent="0.3">
      <c r="A24"/>
      <c r="B24"/>
      <c r="C24"/>
      <c r="D24"/>
      <c r="E24"/>
      <c r="F24"/>
      <c r="G24"/>
      <c r="H24"/>
      <c r="I24"/>
      <c r="J24"/>
      <c r="K24"/>
      <c r="L24"/>
    </row>
    <row r="25" spans="1:16" ht="14.4" x14ac:dyDescent="0.3">
      <c r="A25"/>
      <c r="B25"/>
      <c r="C25"/>
      <c r="D25"/>
      <c r="E25"/>
      <c r="F25"/>
      <c r="G25"/>
      <c r="H25"/>
      <c r="I25"/>
      <c r="J25"/>
      <c r="K25"/>
      <c r="L25"/>
    </row>
    <row r="26" spans="1:16" ht="14.4" x14ac:dyDescent="0.3">
      <c r="A26"/>
      <c r="B26"/>
      <c r="C26"/>
      <c r="D26"/>
      <c r="E26"/>
      <c r="F26"/>
      <c r="G26"/>
      <c r="H26"/>
      <c r="I26"/>
      <c r="J26"/>
      <c r="K26"/>
      <c r="L26"/>
    </row>
    <row r="27" spans="1:16" ht="14.4" x14ac:dyDescent="0.3">
      <c r="A27"/>
      <c r="B27"/>
      <c r="C27"/>
      <c r="D27"/>
      <c r="E27"/>
      <c r="F27"/>
      <c r="G27"/>
      <c r="H27"/>
      <c r="I27"/>
      <c r="J27"/>
      <c r="K27"/>
      <c r="L27"/>
    </row>
    <row r="28" spans="1:16" ht="14.4" x14ac:dyDescent="0.3">
      <c r="A28"/>
      <c r="B28"/>
      <c r="C28"/>
      <c r="D28"/>
      <c r="E28"/>
      <c r="F28"/>
      <c r="G28"/>
      <c r="H28"/>
      <c r="I28"/>
      <c r="J28"/>
      <c r="K28"/>
      <c r="L28"/>
    </row>
    <row r="29" spans="1:16" x14ac:dyDescent="0.25">
      <c r="A29" s="6" t="s">
        <v>59</v>
      </c>
      <c r="I29" s="19" t="s">
        <v>12</v>
      </c>
    </row>
    <row r="30" spans="1:16" x14ac:dyDescent="0.25">
      <c r="A30" s="113"/>
      <c r="B30" s="113"/>
      <c r="C30" s="113"/>
      <c r="D30" s="113"/>
      <c r="E30" s="113"/>
      <c r="F30" s="113"/>
      <c r="G30" s="21"/>
      <c r="H30" s="113"/>
      <c r="I30" s="21">
        <f>39110/80299</f>
        <v>0.4870546333080113</v>
      </c>
      <c r="J30" s="113"/>
      <c r="K30" s="113"/>
      <c r="L30" s="113"/>
      <c r="N30" s="87"/>
    </row>
    <row r="31" spans="1:16" ht="39.6" x14ac:dyDescent="0.3">
      <c r="A31" s="12" t="s">
        <v>0</v>
      </c>
      <c r="B31" s="12" t="s">
        <v>42</v>
      </c>
      <c r="C31" s="12" t="s">
        <v>43</v>
      </c>
      <c r="D31" s="12" t="s">
        <v>44</v>
      </c>
      <c r="E31" s="12" t="s">
        <v>45</v>
      </c>
      <c r="F31" s="13" t="s">
        <v>46</v>
      </c>
      <c r="G31" s="12" t="s">
        <v>47</v>
      </c>
      <c r="H31" s="12" t="s">
        <v>48</v>
      </c>
      <c r="I31" s="12" t="s">
        <v>49</v>
      </c>
      <c r="J31" s="12" t="s">
        <v>50</v>
      </c>
      <c r="K31" s="12" t="s">
        <v>51</v>
      </c>
      <c r="L31" s="12" t="s">
        <v>52</v>
      </c>
      <c r="O31"/>
    </row>
    <row r="32" spans="1:16" ht="14.4" x14ac:dyDescent="0.25">
      <c r="A32" s="8" t="s">
        <v>2</v>
      </c>
      <c r="B32" s="8">
        <v>17.5</v>
      </c>
      <c r="C32" s="22">
        <v>15</v>
      </c>
      <c r="D32" s="22">
        <v>19</v>
      </c>
      <c r="E32" s="139">
        <v>13554</v>
      </c>
      <c r="F32" s="68">
        <v>314520</v>
      </c>
      <c r="G32" s="23">
        <f>E32/F32</f>
        <v>4.3094238840137356E-2</v>
      </c>
      <c r="H32" s="24">
        <f>G32/$G$39</f>
        <v>0.15596044307795973</v>
      </c>
      <c r="I32" s="25">
        <f>G32*$I$2</f>
        <v>2.0989248695970956E-2</v>
      </c>
      <c r="J32" s="151">
        <f>'Cuadro 2'!K9</f>
        <v>490507.99506005406</v>
      </c>
      <c r="K32" s="25">
        <f>J32/(5*100000)</f>
        <v>0.98101599012010809</v>
      </c>
      <c r="L32" s="25">
        <f>K32*I32</f>
        <v>2.0590788591355137E-2</v>
      </c>
    </row>
    <row r="33" spans="1:12" ht="14.4" x14ac:dyDescent="0.25">
      <c r="A33" s="8" t="s">
        <v>3</v>
      </c>
      <c r="B33" s="8">
        <v>22.5</v>
      </c>
      <c r="C33" s="22">
        <v>20</v>
      </c>
      <c r="D33" s="22">
        <v>24</v>
      </c>
      <c r="E33" s="139">
        <v>23299</v>
      </c>
      <c r="F33" s="68">
        <v>305706</v>
      </c>
      <c r="G33" s="23">
        <f t="shared" ref="G33:G38" si="5">E33/F33</f>
        <v>7.6213747849240773E-2</v>
      </c>
      <c r="H33" s="24">
        <f>G33/$G$39</f>
        <v>0.27582178507185362</v>
      </c>
      <c r="I33" s="25">
        <f t="shared" ref="I33:I39" si="6">G33*$I$2</f>
        <v>3.7120259011741201E-2</v>
      </c>
      <c r="J33" s="151">
        <f>'Cuadro 1'!K10</f>
        <v>480872.97960701725</v>
      </c>
      <c r="K33" s="25">
        <f t="shared" ref="K33:K37" si="7">J33/(5*100000)</f>
        <v>0.9617459592140345</v>
      </c>
      <c r="L33" s="25">
        <f t="shared" ref="L33:L38" si="8">K33*I33</f>
        <v>3.5700259109520446E-2</v>
      </c>
    </row>
    <row r="34" spans="1:12" ht="14.4" x14ac:dyDescent="0.25">
      <c r="A34" s="8" t="s">
        <v>7</v>
      </c>
      <c r="B34" s="8">
        <v>27.5</v>
      </c>
      <c r="C34" s="22">
        <v>25</v>
      </c>
      <c r="D34" s="22">
        <v>29</v>
      </c>
      <c r="E34" s="139">
        <v>21073</v>
      </c>
      <c r="F34" s="68">
        <v>291099</v>
      </c>
      <c r="G34" s="23">
        <f t="shared" si="5"/>
        <v>7.2391179633045796E-2</v>
      </c>
      <c r="H34" s="24">
        <f>G34/$G$39</f>
        <v>0.26198769845751407</v>
      </c>
      <c r="I34" s="25">
        <f t="shared" si="6"/>
        <v>3.5258459450907498E-2</v>
      </c>
      <c r="J34" s="151">
        <f>'Cuadro 1'!K11</f>
        <v>479452.14043804834</v>
      </c>
      <c r="K34" s="25">
        <f t="shared" si="7"/>
        <v>0.95890428087609669</v>
      </c>
      <c r="L34" s="25">
        <f t="shared" si="8"/>
        <v>3.380948770457147E-2</v>
      </c>
    </row>
    <row r="35" spans="1:12" ht="14.4" x14ac:dyDescent="0.25">
      <c r="A35" s="8" t="s">
        <v>9</v>
      </c>
      <c r="B35" s="8">
        <v>32.5</v>
      </c>
      <c r="C35" s="22">
        <v>30</v>
      </c>
      <c r="D35" s="22">
        <v>34</v>
      </c>
      <c r="E35" s="139">
        <v>13413</v>
      </c>
      <c r="F35" s="68">
        <v>262743</v>
      </c>
      <c r="G35" s="23">
        <f t="shared" si="5"/>
        <v>5.1049885249083708E-2</v>
      </c>
      <c r="H35" s="24">
        <f>G35/$G$39</f>
        <v>0.18475236915219917</v>
      </c>
      <c r="I35" s="25">
        <f t="shared" si="6"/>
        <v>2.486408314040852E-2</v>
      </c>
      <c r="J35" s="151">
        <f>'Cuadro 1'!K12</f>
        <v>477640.63047678315</v>
      </c>
      <c r="K35" s="25">
        <f t="shared" si="7"/>
        <v>0.95528126095356625</v>
      </c>
      <c r="L35" s="25">
        <f t="shared" si="8"/>
        <v>2.3752192694823759E-2</v>
      </c>
    </row>
    <row r="36" spans="1:12" ht="14.4" x14ac:dyDescent="0.25">
      <c r="A36" s="8" t="s">
        <v>11</v>
      </c>
      <c r="B36" s="8">
        <v>37.5</v>
      </c>
      <c r="C36" s="22">
        <v>35</v>
      </c>
      <c r="D36" s="22">
        <v>39</v>
      </c>
      <c r="E36" s="139">
        <v>6282</v>
      </c>
      <c r="F36" s="68">
        <v>238652</v>
      </c>
      <c r="G36" s="23">
        <f t="shared" si="5"/>
        <v>2.6322846655381055E-2</v>
      </c>
      <c r="H36" s="24">
        <f>G36/$G$39</f>
        <v>9.5263843565622536E-2</v>
      </c>
      <c r="I36" s="25">
        <f t="shared" si="6"/>
        <v>1.2820664425359632E-2</v>
      </c>
      <c r="J36" s="151">
        <f>'Cuadro 1'!K13</f>
        <v>475196.83887889731</v>
      </c>
      <c r="K36" s="25">
        <f t="shared" si="7"/>
        <v>0.9503936777577946</v>
      </c>
      <c r="L36" s="25">
        <f t="shared" si="8"/>
        <v>1.2184678414516063E-2</v>
      </c>
    </row>
    <row r="37" spans="1:12" ht="14.4" x14ac:dyDescent="0.25">
      <c r="A37" s="8" t="s">
        <v>14</v>
      </c>
      <c r="B37" s="8">
        <v>42.5</v>
      </c>
      <c r="C37" s="22">
        <v>40</v>
      </c>
      <c r="D37" s="22">
        <v>44</v>
      </c>
      <c r="E37" s="139">
        <v>1498</v>
      </c>
      <c r="F37" s="68">
        <v>221454</v>
      </c>
      <c r="G37" s="23">
        <f t="shared" si="5"/>
        <v>6.7643844771374641E-3</v>
      </c>
      <c r="H37" s="24">
        <f>G37/$G$39</f>
        <v>2.4480683000750486E-2</v>
      </c>
      <c r="I37" s="25">
        <f t="shared" si="6"/>
        <v>3.2946248010665914E-3</v>
      </c>
      <c r="J37" s="151">
        <f>'Cuadro 1'!K14</f>
        <v>471613.74766168511</v>
      </c>
      <c r="K37" s="25">
        <f t="shared" si="7"/>
        <v>0.94322749532337025</v>
      </c>
      <c r="L37" s="25">
        <f t="shared" si="8"/>
        <v>3.1075806991402981E-3</v>
      </c>
    </row>
    <row r="38" spans="1:12" ht="14.4" x14ac:dyDescent="0.25">
      <c r="A38" s="8" t="s">
        <v>15</v>
      </c>
      <c r="B38" s="8">
        <v>47.5</v>
      </c>
      <c r="C38" s="22">
        <v>45</v>
      </c>
      <c r="D38" s="22">
        <v>49</v>
      </c>
      <c r="E38" s="138">
        <v>96</v>
      </c>
      <c r="F38" s="68">
        <v>200458</v>
      </c>
      <c r="G38" s="23">
        <f t="shared" si="5"/>
        <v>4.7890331141685539E-4</v>
      </c>
      <c r="H38" s="24">
        <f>G38/$G$39</f>
        <v>1.7331776741003656E-3</v>
      </c>
      <c r="I38" s="25">
        <f t="shared" si="6"/>
        <v>2.3325207673212885E-4</v>
      </c>
      <c r="J38" s="151">
        <f>'Cuadro 1'!K15</f>
        <v>466103.91595869372</v>
      </c>
      <c r="K38" s="25">
        <f>J38/(5*100000)</f>
        <v>0.93220783191738743</v>
      </c>
      <c r="L38" s="25">
        <f t="shared" si="8"/>
        <v>2.1743941274068594E-4</v>
      </c>
    </row>
    <row r="39" spans="1:12" x14ac:dyDescent="0.25">
      <c r="A39" s="26" t="s">
        <v>6</v>
      </c>
      <c r="B39" s="27"/>
      <c r="C39" s="27"/>
      <c r="D39" s="27"/>
      <c r="E39" s="14"/>
      <c r="F39" s="15"/>
      <c r="G39" s="28">
        <f>SUM(G32:G38)</f>
        <v>0.27631518601544303</v>
      </c>
      <c r="H39" s="29"/>
      <c r="I39" s="29"/>
      <c r="J39" s="30"/>
      <c r="K39" s="30"/>
      <c r="L39" s="31">
        <f>SUM(L32:L38)</f>
        <v>0.12936242662666786</v>
      </c>
    </row>
    <row r="40" spans="1:12" x14ac:dyDescent="0.25">
      <c r="A40" s="32"/>
      <c r="B40" s="32"/>
      <c r="C40" s="32"/>
      <c r="D40" s="32"/>
      <c r="E40" s="32"/>
      <c r="F40" s="33" t="s">
        <v>39</v>
      </c>
      <c r="G40" s="34">
        <f>SUM(G32:G38)*5</f>
        <v>1.381575930077215</v>
      </c>
      <c r="H40" s="35"/>
    </row>
    <row r="41" spans="1:12" x14ac:dyDescent="0.25">
      <c r="F41" s="36" t="s">
        <v>40</v>
      </c>
      <c r="G41" s="82"/>
      <c r="H41" s="37"/>
      <c r="I41" s="90">
        <f>G40*I30</f>
        <v>0.67290295801093258</v>
      </c>
      <c r="K41" s="91" t="s">
        <v>53</v>
      </c>
      <c r="L41" s="90">
        <f>G40*Puebla!Q8</f>
        <v>0.67290295801093258</v>
      </c>
    </row>
    <row r="42" spans="1:12" x14ac:dyDescent="0.25">
      <c r="F42" s="36" t="s">
        <v>41</v>
      </c>
      <c r="G42" s="38"/>
      <c r="H42" s="39"/>
      <c r="I42" s="39"/>
      <c r="J42" s="39"/>
      <c r="K42" s="39"/>
      <c r="L42" s="34">
        <f>L39*5</f>
        <v>0.6468121331333393</v>
      </c>
    </row>
    <row r="44" spans="1:12" x14ac:dyDescent="0.25">
      <c r="A44" s="6"/>
    </row>
    <row r="45" spans="1:12" x14ac:dyDescent="0.25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</row>
    <row r="46" spans="1:12" ht="14.4" x14ac:dyDescent="0.3">
      <c r="A46"/>
      <c r="B46"/>
      <c r="C46"/>
      <c r="D46"/>
      <c r="E46"/>
      <c r="F46"/>
      <c r="G46"/>
      <c r="H46"/>
      <c r="I46"/>
      <c r="J46"/>
      <c r="K46"/>
      <c r="L46"/>
    </row>
    <row r="47" spans="1:12" ht="14.4" x14ac:dyDescent="0.3">
      <c r="A47"/>
      <c r="B47"/>
      <c r="C47"/>
      <c r="D47"/>
      <c r="E47"/>
      <c r="F47"/>
      <c r="G47"/>
      <c r="H47"/>
      <c r="I47"/>
      <c r="J47"/>
      <c r="K47"/>
      <c r="L47"/>
    </row>
    <row r="48" spans="1:12" ht="14.4" x14ac:dyDescent="0.3">
      <c r="A48"/>
      <c r="B48"/>
      <c r="C48"/>
      <c r="D48"/>
      <c r="E48"/>
      <c r="F48"/>
      <c r="G48"/>
      <c r="H48"/>
      <c r="I48"/>
      <c r="J48"/>
      <c r="K48"/>
      <c r="L48"/>
    </row>
    <row r="49" spans="1:16" ht="14.4" x14ac:dyDescent="0.3">
      <c r="A49"/>
      <c r="B49"/>
      <c r="C49"/>
      <c r="D49"/>
      <c r="E49"/>
      <c r="F49"/>
      <c r="G49"/>
      <c r="H49"/>
      <c r="I49"/>
      <c r="J49"/>
      <c r="K49"/>
      <c r="L49"/>
      <c r="O49" s="112"/>
      <c r="P49" s="112"/>
    </row>
    <row r="50" spans="1:16" ht="14.4" x14ac:dyDescent="0.3">
      <c r="A50"/>
      <c r="B50"/>
      <c r="C50"/>
      <c r="D50"/>
      <c r="E50"/>
      <c r="F50"/>
      <c r="G50"/>
      <c r="H50"/>
      <c r="I50"/>
      <c r="J50"/>
      <c r="K50"/>
      <c r="L50"/>
      <c r="O50" s="112"/>
      <c r="P50" s="112"/>
    </row>
    <row r="51" spans="1:16" ht="14.4" x14ac:dyDescent="0.3">
      <c r="A51"/>
      <c r="B51"/>
      <c r="C51"/>
      <c r="D51"/>
      <c r="E51"/>
      <c r="F51"/>
      <c r="G51"/>
      <c r="H51"/>
      <c r="I51"/>
      <c r="J51"/>
      <c r="K51"/>
      <c r="L51"/>
      <c r="O51" s="112"/>
      <c r="P51" s="112"/>
    </row>
    <row r="52" spans="1:16" ht="14.4" x14ac:dyDescent="0.3">
      <c r="A52"/>
      <c r="B52"/>
      <c r="C52"/>
      <c r="D52"/>
      <c r="E52"/>
      <c r="F52"/>
      <c r="G52"/>
      <c r="H52"/>
      <c r="I52"/>
      <c r="J52"/>
      <c r="K52"/>
      <c r="L52"/>
    </row>
    <row r="53" spans="1:16" ht="14.4" x14ac:dyDescent="0.3">
      <c r="A53"/>
      <c r="B53"/>
      <c r="C53"/>
      <c r="D53"/>
      <c r="E53"/>
      <c r="F53"/>
      <c r="G53"/>
      <c r="H53"/>
      <c r="I53"/>
      <c r="J53"/>
      <c r="K53"/>
      <c r="L53"/>
    </row>
  </sheetData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6146" r:id="rId4">
          <objectPr defaultSize="0" r:id="rId5">
            <anchor moveWithCells="1" sizeWithCells="1">
              <from>
                <xdr:col>3</xdr:col>
                <xdr:colOff>0</xdr:colOff>
                <xdr:row>11</xdr:row>
                <xdr:rowOff>60960</xdr:rowOff>
              </from>
              <to>
                <xdr:col>4</xdr:col>
                <xdr:colOff>838200</xdr:colOff>
                <xdr:row>13</xdr:row>
                <xdr:rowOff>152400</xdr:rowOff>
              </to>
            </anchor>
          </objectPr>
        </oleObject>
      </mc:Choice>
      <mc:Fallback>
        <oleObject progId="PBrush" shapeId="6146" r:id="rId4"/>
      </mc:Fallback>
    </mc:AlternateContent>
    <mc:AlternateContent xmlns:mc="http://schemas.openxmlformats.org/markup-compatibility/2006">
      <mc:Choice Requires="x14">
        <oleObject progId="PBrush" shapeId="6147" r:id="rId6">
          <objectPr defaultSize="0" r:id="rId5">
            <anchor moveWithCells="1" sizeWithCells="1">
              <from>
                <xdr:col>3</xdr:col>
                <xdr:colOff>0</xdr:colOff>
                <xdr:row>39</xdr:row>
                <xdr:rowOff>60960</xdr:rowOff>
              </from>
              <to>
                <xdr:col>4</xdr:col>
                <xdr:colOff>838200</xdr:colOff>
                <xdr:row>41</xdr:row>
                <xdr:rowOff>152400</xdr:rowOff>
              </to>
            </anchor>
          </objectPr>
        </oleObject>
      </mc:Choice>
      <mc:Fallback>
        <oleObject progId="PBrush" shapeId="6147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9B33-6012-476B-8B6A-F88C249C290E}">
  <dimension ref="B2:J13"/>
  <sheetViews>
    <sheetView workbookViewId="0">
      <selection activeCell="B2" sqref="B2:J13"/>
    </sheetView>
  </sheetViews>
  <sheetFormatPr baseColWidth="10" defaultColWidth="8.77734375" defaultRowHeight="14.4" x14ac:dyDescent="0.3"/>
  <cols>
    <col min="9" max="10" width="10" customWidth="1"/>
  </cols>
  <sheetData>
    <row r="2" spans="2:10" ht="16.2" thickBot="1" x14ac:dyDescent="0.35">
      <c r="B2" s="130" t="s">
        <v>41</v>
      </c>
      <c r="C2" s="130"/>
      <c r="D2" s="130"/>
      <c r="E2" s="130"/>
      <c r="F2" s="130"/>
      <c r="G2" s="130"/>
      <c r="H2" s="130"/>
      <c r="I2" s="130"/>
      <c r="J2" s="130"/>
    </row>
    <row r="3" spans="2:10" ht="16.2" thickBot="1" x14ac:dyDescent="0.35">
      <c r="B3" s="131" t="s">
        <v>0</v>
      </c>
      <c r="C3" s="133" t="s">
        <v>47</v>
      </c>
      <c r="D3" s="134"/>
      <c r="E3" s="135" t="s">
        <v>54</v>
      </c>
      <c r="F3" s="134"/>
      <c r="G3" s="135" t="s">
        <v>55</v>
      </c>
      <c r="H3" s="134"/>
      <c r="I3" s="135" t="s">
        <v>56</v>
      </c>
      <c r="J3" s="136"/>
    </row>
    <row r="4" spans="2:10" ht="16.2" thickBot="1" x14ac:dyDescent="0.35">
      <c r="B4" s="132"/>
      <c r="C4" s="93" t="s">
        <v>37</v>
      </c>
      <c r="D4" s="96" t="s">
        <v>38</v>
      </c>
      <c r="E4" s="93" t="s">
        <v>37</v>
      </c>
      <c r="F4" s="96" t="s">
        <v>38</v>
      </c>
      <c r="G4" s="93" t="s">
        <v>37</v>
      </c>
      <c r="H4" s="96" t="s">
        <v>38</v>
      </c>
      <c r="I4" s="93" t="s">
        <v>37</v>
      </c>
      <c r="J4" s="97" t="s">
        <v>38</v>
      </c>
    </row>
    <row r="5" spans="2:10" ht="15.6" x14ac:dyDescent="0.3">
      <c r="B5" s="92" t="s">
        <v>2</v>
      </c>
      <c r="C5" s="98">
        <f>'TGF, TBR y TNR'!G19</f>
        <v>0</v>
      </c>
      <c r="D5" s="101">
        <f>'TGF, TBR y TNR'!G4</f>
        <v>4.6127297330169452E-2</v>
      </c>
      <c r="E5" s="104">
        <f>'TGF, TBR y TNR'!J19</f>
        <v>0</v>
      </c>
      <c r="F5" s="104">
        <f>'TGF, TBR y TNR'!J4</f>
        <v>482061.72718887788</v>
      </c>
      <c r="G5" s="98">
        <f>'TGF, TBR y TNR'!K19</f>
        <v>0</v>
      </c>
      <c r="H5" s="101">
        <f>'TGF, TBR y TNR'!K4</f>
        <v>0.96412345437775571</v>
      </c>
      <c r="I5" s="106">
        <f>'TGF, TBR y TNR'!L19</f>
        <v>0</v>
      </c>
      <c r="J5" s="102">
        <f>'TGF, TBR y TNR'!L4</f>
        <v>2.1660492976208635E-2</v>
      </c>
    </row>
    <row r="6" spans="2:10" ht="15.6" x14ac:dyDescent="0.3">
      <c r="B6" s="92" t="s">
        <v>3</v>
      </c>
      <c r="C6" s="99">
        <f>'TGF, TBR y TNR'!G20</f>
        <v>0</v>
      </c>
      <c r="D6" s="102">
        <f>'TGF, TBR y TNR'!G5</f>
        <v>8.7867599500260629E-2</v>
      </c>
      <c r="E6" s="104">
        <f>'TGF, TBR y TNR'!J20</f>
        <v>0</v>
      </c>
      <c r="F6" s="104">
        <f>'TGF, TBR y TNR'!J5</f>
        <v>480872.97960701725</v>
      </c>
      <c r="G6" s="99">
        <f>'TGF, TBR y TNR'!K20</f>
        <v>0</v>
      </c>
      <c r="H6" s="102">
        <f>'TGF, TBR y TNR'!K5</f>
        <v>0.9617459592140345</v>
      </c>
      <c r="I6" s="106">
        <f>'TGF, TBR y TNR'!L20</f>
        <v>0</v>
      </c>
      <c r="J6" s="102">
        <f>'TGF, TBR y TNR'!L5</f>
        <v>4.115918922785429E-2</v>
      </c>
    </row>
    <row r="7" spans="2:10" ht="15.6" x14ac:dyDescent="0.3">
      <c r="B7" s="92" t="s">
        <v>7</v>
      </c>
      <c r="C7" s="99">
        <f>'TGF, TBR y TNR'!G21</f>
        <v>0</v>
      </c>
      <c r="D7" s="102">
        <f>'TGF, TBR y TNR'!G6</f>
        <v>8.3653787477553976E-2</v>
      </c>
      <c r="E7" s="104">
        <f>'TGF, TBR y TNR'!J21</f>
        <v>0</v>
      </c>
      <c r="F7" s="104">
        <f>'TGF, TBR y TNR'!J6</f>
        <v>479452.14043804834</v>
      </c>
      <c r="G7" s="99">
        <f>'TGF, TBR y TNR'!K21</f>
        <v>0</v>
      </c>
      <c r="H7" s="102">
        <f>'TGF, TBR y TNR'!K6</f>
        <v>0.95890428087609669</v>
      </c>
      <c r="I7" s="106">
        <f>'TGF, TBR y TNR'!L21</f>
        <v>0</v>
      </c>
      <c r="J7" s="102">
        <f>'TGF, TBR y TNR'!L6</f>
        <v>3.9069562251919855E-2</v>
      </c>
    </row>
    <row r="8" spans="2:10" ht="15.6" x14ac:dyDescent="0.3">
      <c r="B8" s="92" t="s">
        <v>9</v>
      </c>
      <c r="C8" s="99">
        <f>'TGF, TBR y TNR'!G22</f>
        <v>0</v>
      </c>
      <c r="D8" s="102">
        <f>'TGF, TBR y TNR'!G7</f>
        <v>5.8581007786475216E-2</v>
      </c>
      <c r="E8" s="104">
        <f>'TGF, TBR y TNR'!J22</f>
        <v>0</v>
      </c>
      <c r="F8" s="104">
        <f>'TGF, TBR y TNR'!J7</f>
        <v>477640.63047678315</v>
      </c>
      <c r="G8" s="99">
        <f>'TGF, TBR y TNR'!K22</f>
        <v>0</v>
      </c>
      <c r="H8" s="102">
        <f>'TGF, TBR y TNR'!K7</f>
        <v>0.95528126095356625</v>
      </c>
      <c r="I8" s="106">
        <f>'TGF, TBR y TNR'!L22</f>
        <v>0</v>
      </c>
      <c r="J8" s="102">
        <f>'TGF, TBR y TNR'!L7</f>
        <v>2.7256229439346389E-2</v>
      </c>
    </row>
    <row r="9" spans="2:10" ht="15.6" x14ac:dyDescent="0.3">
      <c r="B9" s="92" t="s">
        <v>11</v>
      </c>
      <c r="C9" s="99">
        <f>'TGF, TBR y TNR'!G23</f>
        <v>0</v>
      </c>
      <c r="D9" s="102">
        <f>'TGF, TBR y TNR'!G8</f>
        <v>2.9197626928346758E-2</v>
      </c>
      <c r="E9" s="104">
        <f>'TGF, TBR y TNR'!J23</f>
        <v>0</v>
      </c>
      <c r="F9" s="104">
        <f>'TGF, TBR y TNR'!J8</f>
        <v>475196.83887889731</v>
      </c>
      <c r="G9" s="99">
        <f>'TGF, TBR y TNR'!K23</f>
        <v>0</v>
      </c>
      <c r="H9" s="102">
        <f>'TGF, TBR y TNR'!K8</f>
        <v>0.9503936777577946</v>
      </c>
      <c r="I9" s="106">
        <f>'TGF, TBR y TNR'!L23</f>
        <v>0</v>
      </c>
      <c r="J9" s="102">
        <f>'TGF, TBR y TNR'!L8</f>
        <v>1.3515395931396825E-2</v>
      </c>
    </row>
    <row r="10" spans="2:10" ht="15.6" x14ac:dyDescent="0.3">
      <c r="B10" s="92" t="s">
        <v>14</v>
      </c>
      <c r="C10" s="99">
        <f>'TGF, TBR y TNR'!G24</f>
        <v>0</v>
      </c>
      <c r="D10" s="102">
        <f>'TGF, TBR y TNR'!G9</f>
        <v>7.9990381492682713E-3</v>
      </c>
      <c r="E10" s="104">
        <f>'TGF, TBR y TNR'!J24</f>
        <v>0</v>
      </c>
      <c r="F10" s="104">
        <f>'TGF, TBR y TNR'!J9</f>
        <v>471613.74766168511</v>
      </c>
      <c r="G10" s="99">
        <f>'TGF, TBR y TNR'!K24</f>
        <v>0</v>
      </c>
      <c r="H10" s="102">
        <f>'TGF, TBR y TNR'!K9</f>
        <v>0.94322749532337025</v>
      </c>
      <c r="I10" s="106">
        <f>'TGF, TBR y TNR'!L24</f>
        <v>0</v>
      </c>
      <c r="J10" s="102">
        <f>'TGF, TBR y TNR'!L9</f>
        <v>3.6747846974647738E-3</v>
      </c>
    </row>
    <row r="11" spans="2:10" ht="16.2" thickBot="1" x14ac:dyDescent="0.35">
      <c r="B11" s="95" t="s">
        <v>15</v>
      </c>
      <c r="C11" s="100">
        <f>'TGF, TBR y TNR'!G25</f>
        <v>0</v>
      </c>
      <c r="D11" s="103">
        <f>'TGF, TBR y TNR'!G10</f>
        <v>8.6439746568570911E-4</v>
      </c>
      <c r="E11" s="105">
        <f>'TGF, TBR y TNR'!J25</f>
        <v>0</v>
      </c>
      <c r="F11" s="105">
        <f>'TGF, TBR y TNR'!J10</f>
        <v>466103.91595869372</v>
      </c>
      <c r="G11" s="100">
        <f>'TGF, TBR y TNR'!K25</f>
        <v>0</v>
      </c>
      <c r="H11" s="103">
        <f>'TGF, TBR y TNR'!K10</f>
        <v>0.93220783191738743</v>
      </c>
      <c r="I11" s="107">
        <f>'TGF, TBR y TNR'!L25</f>
        <v>0</v>
      </c>
      <c r="J11" s="103">
        <f>'TGF, TBR y TNR'!L10</f>
        <v>3.9246769197976068E-4</v>
      </c>
    </row>
    <row r="12" spans="2:10" ht="16.2" thickBot="1" x14ac:dyDescent="0.35">
      <c r="B12" s="94"/>
      <c r="C12" s="94"/>
      <c r="D12" s="94"/>
      <c r="E12" s="94"/>
      <c r="F12" s="94"/>
      <c r="G12" s="94"/>
      <c r="H12" s="108" t="s">
        <v>12</v>
      </c>
      <c r="I12" s="98">
        <f>J12</f>
        <v>0.4870546333080113</v>
      </c>
      <c r="J12" s="101">
        <f>'TGF, TBR y TNR'!I2</f>
        <v>0.4870546333080113</v>
      </c>
    </row>
    <row r="13" spans="2:10" ht="16.2" thickBot="1" x14ac:dyDescent="0.35">
      <c r="B13" s="94"/>
      <c r="C13" s="94"/>
      <c r="D13" s="94"/>
      <c r="E13" s="94"/>
      <c r="F13" s="94"/>
      <c r="G13" s="94"/>
      <c r="H13" s="109" t="s">
        <v>41</v>
      </c>
      <c r="I13" s="110">
        <f>'TGF, TBR y TNR'!L29</f>
        <v>0</v>
      </c>
      <c r="J13" s="111">
        <f>'TGF, TBR y TNR'!L14</f>
        <v>0.73364061108085254</v>
      </c>
    </row>
  </sheetData>
  <mergeCells count="6">
    <mergeCell ref="B2:J2"/>
    <mergeCell ref="B3:B4"/>
    <mergeCell ref="C3:D3"/>
    <mergeCell ref="E3:F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Puebla</vt:lpstr>
      <vt:lpstr>Cuadro 1</vt:lpstr>
      <vt:lpstr>Cuadro 2</vt:lpstr>
      <vt:lpstr>TGF, TBR y TNR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user7</dc:creator>
  <cp:keywords/>
  <dc:description/>
  <cp:lastModifiedBy>neto castro</cp:lastModifiedBy>
  <cp:revision/>
  <dcterms:created xsi:type="dcterms:W3CDTF">2014-10-01T13:57:05Z</dcterms:created>
  <dcterms:modified xsi:type="dcterms:W3CDTF">2026-06-04T02:29:44Z</dcterms:modified>
  <cp:category/>
  <cp:contentStatus/>
</cp:coreProperties>
</file>