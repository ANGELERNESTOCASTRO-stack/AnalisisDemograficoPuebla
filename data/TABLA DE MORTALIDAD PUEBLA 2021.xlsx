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8_{4AB8A730-7C16-4E05-89C1-278C767056F1}" xr6:coauthVersionLast="47" xr6:coauthVersionMax="47" xr10:uidLastSave="{00000000-0000-0000-0000-000000000000}"/>
  <bookViews>
    <workbookView xWindow="-108" yWindow="-108" windowWidth="23256" windowHeight="12456" activeTab="1" xr2:uid="{F705A26A-AB71-46E2-87FD-32881050EAC9}"/>
  </bookViews>
  <sheets>
    <sheet name="TABLA MORTALIDAD 2021 HOMBRES" sheetId="1" r:id="rId1"/>
    <sheet name="TABLA MORTALIDAD 2021 MUJE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F20" i="2"/>
  <c r="E20" i="2"/>
  <c r="F19" i="2"/>
  <c r="E19" i="2"/>
  <c r="F18" i="2"/>
  <c r="E18" i="2"/>
  <c r="G18" i="2" s="1"/>
  <c r="H18" i="2" s="1"/>
  <c r="F17" i="2"/>
  <c r="E17" i="2"/>
  <c r="G17" i="2" s="1"/>
  <c r="H17" i="2" s="1"/>
  <c r="F16" i="2"/>
  <c r="E16" i="2"/>
  <c r="G16" i="2" s="1"/>
  <c r="H16" i="2" s="1"/>
  <c r="F15" i="2"/>
  <c r="E15" i="2"/>
  <c r="G15" i="2" s="1"/>
  <c r="H15" i="2" s="1"/>
  <c r="F14" i="2"/>
  <c r="E14" i="2"/>
  <c r="G14" i="2" s="1"/>
  <c r="H14" i="2" s="1"/>
  <c r="F13" i="2"/>
  <c r="E13" i="2"/>
  <c r="G13" i="2" s="1"/>
  <c r="H13" i="2" s="1"/>
  <c r="F12" i="2"/>
  <c r="E12" i="2"/>
  <c r="G12" i="2" s="1"/>
  <c r="H12" i="2" s="1"/>
  <c r="F11" i="2"/>
  <c r="E11" i="2"/>
  <c r="F10" i="2"/>
  <c r="E10" i="2"/>
  <c r="G10" i="2" s="1"/>
  <c r="H10" i="2" s="1"/>
  <c r="F9" i="2"/>
  <c r="E9" i="2"/>
  <c r="G9" i="2" s="1"/>
  <c r="H9" i="2" s="1"/>
  <c r="F8" i="2"/>
  <c r="E8" i="2"/>
  <c r="G8" i="2" s="1"/>
  <c r="H8" i="2" s="1"/>
  <c r="F7" i="2"/>
  <c r="E7" i="2"/>
  <c r="G7" i="2" s="1"/>
  <c r="H7" i="2" s="1"/>
  <c r="F6" i="2"/>
  <c r="E6" i="2"/>
  <c r="G6" i="2" s="1"/>
  <c r="H6" i="2" s="1"/>
  <c r="F5" i="2"/>
  <c r="E5" i="2"/>
  <c r="G5" i="2" s="1"/>
  <c r="H5" i="2" s="1"/>
  <c r="F4" i="2"/>
  <c r="E4" i="2"/>
  <c r="G4" i="2" s="1"/>
  <c r="H4" i="2" s="1"/>
  <c r="E3" i="2"/>
  <c r="E2" i="2"/>
  <c r="F2" i="2" s="1"/>
  <c r="G2" i="2" s="1"/>
  <c r="E5" i="1"/>
  <c r="E2" i="1"/>
  <c r="F2" i="1" s="1"/>
  <c r="G2" i="1" s="1"/>
  <c r="E3" i="1"/>
  <c r="E4" i="1"/>
  <c r="G4" i="1" s="1"/>
  <c r="H4" i="1" s="1"/>
  <c r="F4" i="1"/>
  <c r="F5" i="1"/>
  <c r="E6" i="1"/>
  <c r="G6" i="1" s="1"/>
  <c r="H6" i="1" s="1"/>
  <c r="F6" i="1"/>
  <c r="E7" i="1"/>
  <c r="F7" i="1"/>
  <c r="G7" i="1"/>
  <c r="H7" i="1" s="1"/>
  <c r="E8" i="1"/>
  <c r="G8" i="1" s="1"/>
  <c r="H8" i="1" s="1"/>
  <c r="F8" i="1"/>
  <c r="E9" i="1"/>
  <c r="G9" i="1" s="1"/>
  <c r="H9" i="1" s="1"/>
  <c r="F9" i="1"/>
  <c r="E10" i="1"/>
  <c r="G10" i="1" s="1"/>
  <c r="H10" i="1" s="1"/>
  <c r="F10" i="1"/>
  <c r="E11" i="1"/>
  <c r="F11" i="1"/>
  <c r="G11" i="1"/>
  <c r="H11" i="1" s="1"/>
  <c r="E12" i="1"/>
  <c r="G12" i="1" s="1"/>
  <c r="H12" i="1" s="1"/>
  <c r="F12" i="1"/>
  <c r="E13" i="1"/>
  <c r="F13" i="1"/>
  <c r="G13" i="1"/>
  <c r="H13" i="1"/>
  <c r="E14" i="1"/>
  <c r="G14" i="1" s="1"/>
  <c r="H14" i="1" s="1"/>
  <c r="F14" i="1"/>
  <c r="E15" i="1"/>
  <c r="G15" i="1" s="1"/>
  <c r="H15" i="1" s="1"/>
  <c r="F15" i="1"/>
  <c r="E16" i="1"/>
  <c r="G16" i="1" s="1"/>
  <c r="H16" i="1" s="1"/>
  <c r="F16" i="1"/>
  <c r="E17" i="1"/>
  <c r="G17" i="1" s="1"/>
  <c r="H17" i="1" s="1"/>
  <c r="F17" i="1"/>
  <c r="E18" i="1"/>
  <c r="G18" i="1" s="1"/>
  <c r="H18" i="1" s="1"/>
  <c r="F18" i="1"/>
  <c r="E19" i="1"/>
  <c r="G19" i="1" s="1"/>
  <c r="H19" i="1" s="1"/>
  <c r="F19" i="1"/>
  <c r="E20" i="1"/>
  <c r="F20" i="1"/>
  <c r="H20" i="1"/>
  <c r="F3" i="2" l="1"/>
  <c r="G3" i="2" s="1"/>
  <c r="H3" i="2" s="1"/>
  <c r="G11" i="2"/>
  <c r="H11" i="2" s="1"/>
  <c r="G19" i="2"/>
  <c r="H19" i="2" s="1"/>
  <c r="J2" i="2"/>
  <c r="H2" i="2"/>
  <c r="I3" i="2" s="1"/>
  <c r="F3" i="1"/>
  <c r="G3" i="1" s="1"/>
  <c r="H3" i="1" s="1"/>
  <c r="G5" i="1"/>
  <c r="H5" i="1" s="1"/>
  <c r="H2" i="1"/>
  <c r="I3" i="1" s="1"/>
  <c r="J2" i="1"/>
  <c r="I4" i="2" l="1"/>
  <c r="J3" i="2"/>
  <c r="K2" i="2"/>
  <c r="J3" i="1"/>
  <c r="K2" i="1"/>
  <c r="I4" i="1"/>
  <c r="I5" i="2" l="1"/>
  <c r="J4" i="2"/>
  <c r="K3" i="2"/>
  <c r="I5" i="1"/>
  <c r="K3" i="1"/>
  <c r="J4" i="1"/>
  <c r="I6" i="2" l="1"/>
  <c r="J5" i="2"/>
  <c r="K4" i="2"/>
  <c r="J5" i="1"/>
  <c r="I6" i="1"/>
  <c r="K4" i="1"/>
  <c r="I7" i="2" l="1"/>
  <c r="J6" i="2"/>
  <c r="K5" i="2"/>
  <c r="K5" i="1"/>
  <c r="J6" i="1"/>
  <c r="I7" i="1"/>
  <c r="I8" i="2" l="1"/>
  <c r="J7" i="2"/>
  <c r="K6" i="2"/>
  <c r="K6" i="1"/>
  <c r="J7" i="1"/>
  <c r="I8" i="1"/>
  <c r="J8" i="2" l="1"/>
  <c r="I9" i="2"/>
  <c r="K7" i="2"/>
  <c r="K7" i="1"/>
  <c r="J8" i="1"/>
  <c r="I9" i="1"/>
  <c r="I10" i="2" l="1"/>
  <c r="K8" i="2"/>
  <c r="J9" i="2"/>
  <c r="J9" i="1"/>
  <c r="K8" i="1"/>
  <c r="I10" i="1"/>
  <c r="I11" i="2" l="1"/>
  <c r="J10" i="2"/>
  <c r="K9" i="2"/>
  <c r="K9" i="1"/>
  <c r="J10" i="1"/>
  <c r="I11" i="1"/>
  <c r="I12" i="2" l="1"/>
  <c r="J11" i="2"/>
  <c r="K10" i="2"/>
  <c r="J11" i="1"/>
  <c r="K10" i="1"/>
  <c r="I12" i="1"/>
  <c r="I13" i="2" l="1"/>
  <c r="J12" i="2"/>
  <c r="K11" i="2"/>
  <c r="K11" i="1"/>
  <c r="J12" i="1"/>
  <c r="I13" i="1"/>
  <c r="I14" i="2" l="1"/>
  <c r="J13" i="2"/>
  <c r="K12" i="2"/>
  <c r="J13" i="1"/>
  <c r="K12" i="1"/>
  <c r="I14" i="1"/>
  <c r="I15" i="2" l="1"/>
  <c r="J14" i="2"/>
  <c r="K13" i="2"/>
  <c r="K13" i="1"/>
  <c r="J14" i="1"/>
  <c r="I15" i="1"/>
  <c r="I16" i="2" l="1"/>
  <c r="J15" i="2"/>
  <c r="K14" i="2"/>
  <c r="K14" i="1"/>
  <c r="J15" i="1"/>
  <c r="I16" i="1"/>
  <c r="I17" i="2" l="1"/>
  <c r="K15" i="2"/>
  <c r="J16" i="2"/>
  <c r="J16" i="1"/>
  <c r="K15" i="1"/>
  <c r="I17" i="1"/>
  <c r="I18" i="2" l="1"/>
  <c r="J17" i="2"/>
  <c r="K16" i="2"/>
  <c r="I18" i="1"/>
  <c r="K16" i="1"/>
  <c r="J17" i="1"/>
  <c r="I19" i="2" l="1"/>
  <c r="J18" i="2"/>
  <c r="K17" i="2"/>
  <c r="I19" i="1"/>
  <c r="J18" i="1"/>
  <c r="K17" i="1"/>
  <c r="J19" i="2" l="1"/>
  <c r="K18" i="2"/>
  <c r="I20" i="2"/>
  <c r="I20" i="1"/>
  <c r="K18" i="1"/>
  <c r="J19" i="1"/>
  <c r="L20" i="2" l="1"/>
  <c r="M20" i="2" s="1"/>
  <c r="K20" i="2"/>
  <c r="K19" i="2"/>
  <c r="J20" i="2"/>
  <c r="J20" i="1"/>
  <c r="K20" i="1"/>
  <c r="K19" i="1"/>
  <c r="L20" i="1"/>
  <c r="M20" i="1" s="1"/>
  <c r="L19" i="2" l="1"/>
  <c r="L19" i="1"/>
  <c r="M19" i="2" l="1"/>
  <c r="L18" i="2"/>
  <c r="M19" i="1"/>
  <c r="L18" i="1"/>
  <c r="M18" i="2" l="1"/>
  <c r="L17" i="2"/>
  <c r="M18" i="1"/>
  <c r="L17" i="1"/>
  <c r="M17" i="2" l="1"/>
  <c r="L16" i="2"/>
  <c r="M17" i="1"/>
  <c r="L16" i="1"/>
  <c r="M16" i="2" l="1"/>
  <c r="L15" i="2"/>
  <c r="M16" i="1"/>
  <c r="L15" i="1"/>
  <c r="M15" i="2" l="1"/>
  <c r="L14" i="2"/>
  <c r="M15" i="1"/>
  <c r="L14" i="1"/>
  <c r="M14" i="2" l="1"/>
  <c r="L13" i="2"/>
  <c r="M14" i="1"/>
  <c r="L13" i="1"/>
  <c r="M13" i="2" l="1"/>
  <c r="L12" i="2"/>
  <c r="M13" i="1"/>
  <c r="L12" i="1"/>
  <c r="M12" i="2" l="1"/>
  <c r="L11" i="2"/>
  <c r="M12" i="1"/>
  <c r="L11" i="1"/>
  <c r="M11" i="2" l="1"/>
  <c r="L10" i="2"/>
  <c r="M11" i="1"/>
  <c r="L10" i="1"/>
  <c r="M10" i="2" l="1"/>
  <c r="L9" i="2"/>
  <c r="M10" i="1"/>
  <c r="L9" i="1"/>
  <c r="M9" i="2" l="1"/>
  <c r="L8" i="2"/>
  <c r="M9" i="1"/>
  <c r="L8" i="1"/>
  <c r="M8" i="2" l="1"/>
  <c r="L7" i="2"/>
  <c r="M8" i="1"/>
  <c r="L7" i="1"/>
  <c r="M7" i="2" l="1"/>
  <c r="L6" i="2"/>
  <c r="M7" i="1"/>
  <c r="L6" i="1"/>
  <c r="M6" i="2" l="1"/>
  <c r="L5" i="2"/>
  <c r="M6" i="1"/>
  <c r="L5" i="1"/>
  <c r="M5" i="2" l="1"/>
  <c r="L4" i="2"/>
  <c r="M5" i="1"/>
  <c r="L4" i="1"/>
  <c r="M4" i="2" l="1"/>
  <c r="L3" i="2"/>
  <c r="M4" i="1"/>
  <c r="L3" i="1"/>
  <c r="M3" i="2" l="1"/>
  <c r="L2" i="2"/>
  <c r="M2" i="2" s="1"/>
  <c r="M3" i="1"/>
  <c r="L2" i="1"/>
  <c r="M2" i="1" s="1"/>
</calcChain>
</file>

<file path=xl/sharedStrings.xml><?xml version="1.0" encoding="utf-8"?>
<sst xmlns="http://schemas.openxmlformats.org/spreadsheetml/2006/main" count="26" uniqueCount="13">
  <si>
    <t>x (edad)</t>
  </si>
  <si>
    <t>n</t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</si>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</sst>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AE77E620-1F4D-45C9-A17F-392A1FE6E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0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D230F6A-B1EA-4EA5-BA09-2770F4297C0B}"/>
                </a:ext>
              </a:extLst>
            </xdr:cNvPr>
            <xdr:cNvSpPr txBox="1"/>
          </xdr:nvSpPr>
          <xdr:spPr>
            <a:xfrm>
              <a:off x="7191375" y="38481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D230F6A-B1EA-4EA5-BA09-2770F4297C0B}"/>
                </a:ext>
              </a:extLst>
            </xdr:cNvPr>
            <xdr:cNvSpPr txBox="1"/>
          </xdr:nvSpPr>
          <xdr:spPr>
            <a:xfrm>
              <a:off x="7191375" y="38481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0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8A64A0-FA51-4B17-9415-722245BA897D}"/>
                </a:ext>
              </a:extLst>
            </xdr:cNvPr>
            <xdr:cNvSpPr txBox="1"/>
          </xdr:nvSpPr>
          <xdr:spPr>
            <a:xfrm>
              <a:off x="9728835" y="19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8A64A0-FA51-4B17-9415-722245BA897D}"/>
                </a:ext>
              </a:extLst>
            </xdr:cNvPr>
            <xdr:cNvSpPr txBox="1"/>
          </xdr:nvSpPr>
          <xdr:spPr>
            <a:xfrm>
              <a:off x="9728835" y="19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D1B1-BD52-413F-BC0D-404C0CA49AAA}">
  <dimension ref="A1:M20"/>
  <sheetViews>
    <sheetView workbookViewId="0">
      <selection activeCell="M20" sqref="A1:M20"/>
    </sheetView>
  </sheetViews>
  <sheetFormatPr baseColWidth="10" defaultRowHeight="14.4"/>
  <sheetData>
    <row r="1" spans="1:1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>
        <v>0</v>
      </c>
      <c r="B2" s="2">
        <v>1</v>
      </c>
      <c r="C2" s="3">
        <v>6531104</v>
      </c>
      <c r="D2" s="2">
        <v>713</v>
      </c>
      <c r="E2" s="4">
        <f>D2/C2</f>
        <v>1.0916990450619069E-4</v>
      </c>
      <c r="F2" s="5">
        <f>0.053 + 2.8 * E2</f>
        <v>5.3305675732617332E-2</v>
      </c>
      <c r="G2" s="4">
        <f>(B2*E2)/(1+(B2-F2)*E2)</f>
        <v>1.0915862290477109E-4</v>
      </c>
      <c r="H2" s="4">
        <f>1-G2</f>
        <v>0.99989084137709527</v>
      </c>
      <c r="I2" s="6">
        <v>100000</v>
      </c>
      <c r="J2" s="6">
        <f>I2*G2</f>
        <v>10.915862290477108</v>
      </c>
      <c r="K2" s="6">
        <f>(B2*I3)+(F2*J2)</f>
        <v>99989.666015125113</v>
      </c>
      <c r="L2" s="6">
        <f>K2+L3</f>
        <v>57925385.673801012</v>
      </c>
      <c r="M2" s="7">
        <f>L2/I2</f>
        <v>579.25385673801009</v>
      </c>
    </row>
    <row r="3" spans="1:13">
      <c r="A3" s="8">
        <v>1</v>
      </c>
      <c r="B3" s="8">
        <v>4</v>
      </c>
      <c r="C3">
        <v>26124417</v>
      </c>
      <c r="D3" s="2">
        <v>153</v>
      </c>
      <c r="E3" s="4">
        <f t="shared" ref="E3:E20" si="0">D3/C3</f>
        <v>5.8565900245735626E-6</v>
      </c>
      <c r="F3" s="9">
        <f>1.522 - 1.518 * E2</f>
        <v>1.5218342800849596</v>
      </c>
      <c r="G3" s="4">
        <f>(B3*E3)/(1+(B3-F3)*E3)</f>
        <v>2.3426020102394029E-5</v>
      </c>
      <c r="H3" s="4">
        <f t="shared" ref="H3:H20" si="1">1-G3</f>
        <v>0.99997657397989759</v>
      </c>
      <c r="I3" s="6">
        <f>I2*H2</f>
        <v>99989.08413770952</v>
      </c>
      <c r="J3" s="6">
        <f t="shared" ref="J3:J20" si="2">I3*G3</f>
        <v>2.3423462950299512</v>
      </c>
      <c r="K3" s="6">
        <f>(B3*I4)+(F3*J3)</f>
        <v>399950.53182854556</v>
      </c>
      <c r="L3" s="6">
        <f>K3+L4</f>
        <v>57825396.007785887</v>
      </c>
      <c r="M3" s="7">
        <f>L3/I3</f>
        <v>578.31708837482813</v>
      </c>
    </row>
    <row r="4" spans="1:13">
      <c r="A4" s="8">
        <v>5</v>
      </c>
      <c r="B4" s="8">
        <v>5</v>
      </c>
      <c r="C4">
        <v>31835219</v>
      </c>
      <c r="D4" s="2">
        <v>95</v>
      </c>
      <c r="E4" s="4">
        <f t="shared" si="0"/>
        <v>2.9841164277839586E-6</v>
      </c>
      <c r="F4" s="4">
        <f>B4/2</f>
        <v>2.5</v>
      </c>
      <c r="G4" s="4">
        <f>(B4*E4)/(1+(B4-F4)*E4)</f>
        <v>1.4920470827864526E-5</v>
      </c>
      <c r="H4" s="4">
        <f t="shared" si="1"/>
        <v>0.99998507952917215</v>
      </c>
      <c r="I4" s="6">
        <f t="shared" ref="I4:I19" si="3">I3*H3</f>
        <v>99986.74179141449</v>
      </c>
      <c r="J4" s="6">
        <f t="shared" si="2"/>
        <v>1.4918492640720227</v>
      </c>
      <c r="K4" s="6">
        <f>(B4*I5)+(F4*J4)</f>
        <v>499929.97933391231</v>
      </c>
      <c r="L4" s="6">
        <f t="shared" ref="L4:L18" si="4">K4+L5</f>
        <v>57425445.475957341</v>
      </c>
      <c r="M4" s="7">
        <f t="shared" ref="M4:M20" si="5">L4/I4</f>
        <v>574.33060070858573</v>
      </c>
    </row>
    <row r="5" spans="1:13">
      <c r="A5" s="8">
        <v>10</v>
      </c>
      <c r="B5" s="8">
        <v>5</v>
      </c>
      <c r="C5">
        <v>31369337</v>
      </c>
      <c r="D5" s="2">
        <v>128</v>
      </c>
      <c r="E5" s="4">
        <f>D5/C5</f>
        <v>4.0804177659221808E-6</v>
      </c>
      <c r="F5" s="4">
        <f t="shared" ref="F5:F20" si="6">B5/2</f>
        <v>2.5</v>
      </c>
      <c r="G5" s="4">
        <f t="shared" ref="G5:G19" si="7">(B5*E5)/(1+(B5-F5)*E5)</f>
        <v>2.0401880709119643E-5</v>
      </c>
      <c r="H5" s="4">
        <f t="shared" si="1"/>
        <v>0.99997959811929094</v>
      </c>
      <c r="I5" s="6">
        <f t="shared" si="3"/>
        <v>99985.249942150418</v>
      </c>
      <c r="J5" s="6">
        <f t="shared" si="2"/>
        <v>2.0398871419912643</v>
      </c>
      <c r="K5" s="6">
        <f t="shared" ref="K5:K17" si="8">(B5*I6)+(F5*J5)</f>
        <v>499921.14999289712</v>
      </c>
      <c r="L5" s="6">
        <f t="shared" si="4"/>
        <v>56925515.496623427</v>
      </c>
      <c r="M5" s="7">
        <f t="shared" si="5"/>
        <v>569.33913281768514</v>
      </c>
    </row>
    <row r="6" spans="1:13">
      <c r="A6" s="2">
        <v>15</v>
      </c>
      <c r="B6" s="8">
        <v>5</v>
      </c>
      <c r="C6">
        <v>29982341</v>
      </c>
      <c r="D6" s="2">
        <v>313</v>
      </c>
      <c r="E6" s="4">
        <f t="shared" si="0"/>
        <v>1.0439478358277627E-5</v>
      </c>
      <c r="F6" s="4">
        <f t="shared" si="6"/>
        <v>2.5</v>
      </c>
      <c r="G6" s="4">
        <f t="shared" si="7"/>
        <v>5.219602954308613E-5</v>
      </c>
      <c r="H6" s="4">
        <f t="shared" si="1"/>
        <v>0.99994780397045691</v>
      </c>
      <c r="I6" s="6">
        <f t="shared" si="3"/>
        <v>99983.210055008429</v>
      </c>
      <c r="J6" s="6">
        <f t="shared" si="2"/>
        <v>5.2187265858438066</v>
      </c>
      <c r="K6" s="6">
        <f t="shared" si="8"/>
        <v>499903.00345857756</v>
      </c>
      <c r="L6" s="6">
        <f t="shared" si="4"/>
        <v>56425594.346630529</v>
      </c>
      <c r="M6" s="7">
        <f t="shared" si="5"/>
        <v>564.35069763799822</v>
      </c>
    </row>
    <row r="7" spans="1:13">
      <c r="A7" s="2">
        <v>20</v>
      </c>
      <c r="B7" s="8">
        <v>5</v>
      </c>
      <c r="C7">
        <v>27602396</v>
      </c>
      <c r="D7" s="2">
        <v>534</v>
      </c>
      <c r="E7" s="4">
        <f t="shared" si="0"/>
        <v>1.9346146617127006E-5</v>
      </c>
      <c r="F7" s="4">
        <f t="shared" si="6"/>
        <v>2.5</v>
      </c>
      <c r="G7" s="4">
        <f t="shared" si="7"/>
        <v>9.6726054894535812E-5</v>
      </c>
      <c r="H7" s="4">
        <f t="shared" si="1"/>
        <v>0.99990327394510548</v>
      </c>
      <c r="I7" s="6">
        <f t="shared" si="3"/>
        <v>99977.991328422591</v>
      </c>
      <c r="J7" s="6">
        <f t="shared" si="2"/>
        <v>9.6704766774784297</v>
      </c>
      <c r="K7" s="6">
        <f t="shared" si="8"/>
        <v>499865.78045041923</v>
      </c>
      <c r="L7" s="6">
        <f t="shared" si="4"/>
        <v>55925691.343171954</v>
      </c>
      <c r="M7" s="7">
        <f t="shared" si="5"/>
        <v>559.38002554441118</v>
      </c>
    </row>
    <row r="8" spans="1:13">
      <c r="A8" s="2">
        <v>25</v>
      </c>
      <c r="B8" s="8">
        <v>5</v>
      </c>
      <c r="C8">
        <v>25235482</v>
      </c>
      <c r="D8" s="2">
        <v>829</v>
      </c>
      <c r="E8" s="4">
        <f t="shared" si="0"/>
        <v>3.2850571271038137E-5</v>
      </c>
      <c r="F8" s="4">
        <f t="shared" si="6"/>
        <v>2.5</v>
      </c>
      <c r="G8" s="4">
        <f t="shared" si="7"/>
        <v>1.6423936796253376E-4</v>
      </c>
      <c r="H8" s="4">
        <f t="shared" si="1"/>
        <v>0.9998357606320375</v>
      </c>
      <c r="I8" s="6">
        <f t="shared" si="3"/>
        <v>99968.320851745113</v>
      </c>
      <c r="J8" s="6">
        <f t="shared" si="2"/>
        <v>16.418733832966403</v>
      </c>
      <c r="K8" s="6">
        <f t="shared" si="8"/>
        <v>499800.55742414313</v>
      </c>
      <c r="L8" s="6">
        <f t="shared" si="4"/>
        <v>55425825.562721536</v>
      </c>
      <c r="M8" s="7">
        <f t="shared" si="5"/>
        <v>554.43389556296609</v>
      </c>
    </row>
    <row r="9" spans="1:13">
      <c r="A9" s="2">
        <v>30</v>
      </c>
      <c r="B9" s="8">
        <v>5</v>
      </c>
      <c r="C9">
        <v>23051189</v>
      </c>
      <c r="D9" s="2">
        <v>930</v>
      </c>
      <c r="E9" s="4">
        <f t="shared" si="0"/>
        <v>4.0344990447130512E-5</v>
      </c>
      <c r="F9" s="4">
        <f t="shared" si="6"/>
        <v>2.5</v>
      </c>
      <c r="G9" s="4">
        <f t="shared" si="7"/>
        <v>2.0170460780946449E-4</v>
      </c>
      <c r="H9" s="4">
        <f t="shared" si="1"/>
        <v>0.99979829539219056</v>
      </c>
      <c r="I9" s="6">
        <f t="shared" si="3"/>
        <v>99951.902117912148</v>
      </c>
      <c r="J9" s="6">
        <f t="shared" si="2"/>
        <v>20.160759216503454</v>
      </c>
      <c r="K9" s="6">
        <f t="shared" si="8"/>
        <v>499709.10869151953</v>
      </c>
      <c r="L9" s="6">
        <f t="shared" si="4"/>
        <v>54926025.005297393</v>
      </c>
      <c r="M9" s="7">
        <f t="shared" si="5"/>
        <v>549.52455972775556</v>
      </c>
    </row>
    <row r="10" spans="1:13">
      <c r="A10" s="2">
        <v>35</v>
      </c>
      <c r="B10" s="8">
        <v>5</v>
      </c>
      <c r="C10">
        <v>20931193</v>
      </c>
      <c r="D10" s="2">
        <v>1257</v>
      </c>
      <c r="E10" s="4">
        <f t="shared" si="0"/>
        <v>6.0053910926147402E-5</v>
      </c>
      <c r="F10" s="4">
        <f t="shared" si="6"/>
        <v>2.5</v>
      </c>
      <c r="G10" s="4">
        <f t="shared" si="7"/>
        <v>3.002244804952132E-4</v>
      </c>
      <c r="H10" s="4">
        <f t="shared" si="1"/>
        <v>0.99969977551950484</v>
      </c>
      <c r="I10" s="6">
        <f t="shared" si="3"/>
        <v>99931.741358695654</v>
      </c>
      <c r="J10" s="6">
        <f t="shared" si="2"/>
        <v>30.001955134396415</v>
      </c>
      <c r="K10" s="6">
        <f t="shared" si="8"/>
        <v>499583.70190564235</v>
      </c>
      <c r="L10" s="6">
        <f t="shared" si="4"/>
        <v>54426315.896605872</v>
      </c>
      <c r="M10" s="7">
        <f t="shared" si="5"/>
        <v>544.63491936208425</v>
      </c>
    </row>
    <row r="11" spans="1:13">
      <c r="A11" s="2">
        <v>40</v>
      </c>
      <c r="B11" s="8">
        <v>5</v>
      </c>
      <c r="C11">
        <v>18720810</v>
      </c>
      <c r="D11" s="2">
        <v>1586</v>
      </c>
      <c r="E11" s="4">
        <f t="shared" si="0"/>
        <v>8.4718556515449918E-5</v>
      </c>
      <c r="F11" s="4">
        <f t="shared" si="6"/>
        <v>2.5</v>
      </c>
      <c r="G11" s="4">
        <f t="shared" si="7"/>
        <v>4.2350308615190304E-4</v>
      </c>
      <c r="H11" s="4">
        <f t="shared" si="1"/>
        <v>0.99957649691384809</v>
      </c>
      <c r="I11" s="6">
        <f t="shared" si="3"/>
        <v>99901.739403561267</v>
      </c>
      <c r="J11" s="6">
        <f t="shared" si="2"/>
        <v>42.30869494935137</v>
      </c>
      <c r="K11" s="6">
        <f t="shared" si="8"/>
        <v>499402.92528043292</v>
      </c>
      <c r="L11" s="6">
        <f t="shared" si="4"/>
        <v>53926732.194700226</v>
      </c>
      <c r="M11" s="7">
        <f t="shared" si="5"/>
        <v>539.79773041647218</v>
      </c>
    </row>
    <row r="12" spans="1:13">
      <c r="A12" s="2">
        <v>45</v>
      </c>
      <c r="B12" s="8">
        <v>5</v>
      </c>
      <c r="C12">
        <v>16491876</v>
      </c>
      <c r="D12" s="2">
        <v>2149</v>
      </c>
      <c r="E12" s="4">
        <f t="shared" si="0"/>
        <v>1.3030658246520894E-4</v>
      </c>
      <c r="F12" s="4">
        <f t="shared" si="6"/>
        <v>2.5</v>
      </c>
      <c r="G12" s="4">
        <f t="shared" si="7"/>
        <v>6.5132073387874352E-4</v>
      </c>
      <c r="H12" s="4">
        <f t="shared" si="1"/>
        <v>0.99934867926612125</v>
      </c>
      <c r="I12" s="6">
        <f t="shared" si="3"/>
        <v>99859.430708611908</v>
      </c>
      <c r="J12" s="6">
        <f t="shared" si="2"/>
        <v>65.040517693846638</v>
      </c>
      <c r="K12" s="6">
        <f t="shared" si="8"/>
        <v>499134.55224882491</v>
      </c>
      <c r="L12" s="6">
        <f t="shared" si="4"/>
        <v>53427329.269419797</v>
      </c>
      <c r="M12" s="7">
        <f t="shared" si="5"/>
        <v>535.02537407127647</v>
      </c>
    </row>
    <row r="13" spans="1:13">
      <c r="A13" s="2">
        <v>50</v>
      </c>
      <c r="B13" s="8">
        <v>5</v>
      </c>
      <c r="C13">
        <v>14295639</v>
      </c>
      <c r="D13" s="2">
        <v>2636</v>
      </c>
      <c r="E13" s="4">
        <f t="shared" si="0"/>
        <v>1.843918974171074E-4</v>
      </c>
      <c r="F13" s="4">
        <f t="shared" si="6"/>
        <v>2.5</v>
      </c>
      <c r="G13" s="4">
        <f t="shared" si="7"/>
        <v>9.2153467826588411E-4</v>
      </c>
      <c r="H13" s="4">
        <f t="shared" si="1"/>
        <v>0.99907846532173417</v>
      </c>
      <c r="I13" s="6">
        <f t="shared" si="3"/>
        <v>99794.390190918057</v>
      </c>
      <c r="J13" s="6">
        <f t="shared" si="2"/>
        <v>91.963991257327777</v>
      </c>
      <c r="K13" s="6">
        <f t="shared" si="8"/>
        <v>498742.04097644705</v>
      </c>
      <c r="L13" s="6">
        <f t="shared" si="4"/>
        <v>52928194.717170969</v>
      </c>
      <c r="M13" s="7">
        <f t="shared" si="5"/>
        <v>530.37244494318054</v>
      </c>
    </row>
    <row r="14" spans="1:13">
      <c r="A14" s="2">
        <v>55</v>
      </c>
      <c r="B14" s="8">
        <v>5</v>
      </c>
      <c r="C14">
        <v>12224106</v>
      </c>
      <c r="D14" s="2">
        <v>3063</v>
      </c>
      <c r="E14" s="4">
        <f t="shared" si="0"/>
        <v>2.5057047116574415E-4</v>
      </c>
      <c r="F14" s="4">
        <f t="shared" si="6"/>
        <v>2.5</v>
      </c>
      <c r="G14" s="4">
        <f t="shared" si="7"/>
        <v>1.2520680276396777E-3</v>
      </c>
      <c r="H14" s="4">
        <f t="shared" si="1"/>
        <v>0.99874793197236034</v>
      </c>
      <c r="I14" s="6">
        <f t="shared" si="3"/>
        <v>99702.426199660738</v>
      </c>
      <c r="J14" s="6">
        <f t="shared" si="2"/>
        <v>124.83422012269975</v>
      </c>
      <c r="K14" s="6">
        <f t="shared" si="8"/>
        <v>498200.04544799699</v>
      </c>
      <c r="L14" s="6">
        <f t="shared" si="4"/>
        <v>52429452.676194519</v>
      </c>
      <c r="M14" s="7">
        <f t="shared" si="5"/>
        <v>525.85934640347716</v>
      </c>
    </row>
    <row r="15" spans="1:13">
      <c r="A15" s="2">
        <v>60</v>
      </c>
      <c r="B15" s="8">
        <v>5</v>
      </c>
      <c r="C15">
        <v>10232400</v>
      </c>
      <c r="D15" s="2">
        <v>3632</v>
      </c>
      <c r="E15" s="4">
        <f t="shared" si="0"/>
        <v>3.5495094015089326E-4</v>
      </c>
      <c r="F15" s="4">
        <f t="shared" si="6"/>
        <v>2.5</v>
      </c>
      <c r="G15" s="4">
        <f t="shared" si="7"/>
        <v>1.7731812199018111E-3</v>
      </c>
      <c r="H15" s="4">
        <f t="shared" si="1"/>
        <v>0.99822681878009822</v>
      </c>
      <c r="I15" s="6">
        <f t="shared" si="3"/>
        <v>99577.591979538047</v>
      </c>
      <c r="J15" s="6">
        <f t="shared" si="2"/>
        <v>176.56911602116207</v>
      </c>
      <c r="K15" s="6">
        <f t="shared" si="8"/>
        <v>497446.53710763733</v>
      </c>
      <c r="L15" s="6">
        <f t="shared" si="4"/>
        <v>51931252.630746521</v>
      </c>
      <c r="M15" s="7">
        <f t="shared" si="5"/>
        <v>521.51544939365215</v>
      </c>
    </row>
    <row r="16" spans="1:13">
      <c r="A16" s="2">
        <v>65</v>
      </c>
      <c r="B16" s="8">
        <v>5</v>
      </c>
      <c r="C16">
        <v>8201164</v>
      </c>
      <c r="D16" s="2">
        <v>3734</v>
      </c>
      <c r="E16" s="4">
        <f t="shared" si="0"/>
        <v>4.5530122309467291E-4</v>
      </c>
      <c r="F16" s="4">
        <f t="shared" si="6"/>
        <v>2.5</v>
      </c>
      <c r="G16" s="4">
        <f t="shared" si="7"/>
        <v>2.2739178215599324E-3</v>
      </c>
      <c r="H16" s="4">
        <f t="shared" si="1"/>
        <v>0.99772608217844005</v>
      </c>
      <c r="I16" s="6">
        <f t="shared" si="3"/>
        <v>99401.02286351689</v>
      </c>
      <c r="J16" s="6">
        <f t="shared" si="2"/>
        <v>226.02975737063736</v>
      </c>
      <c r="K16" s="6">
        <f t="shared" si="8"/>
        <v>496440.03992415784</v>
      </c>
      <c r="L16" s="6">
        <f t="shared" si="4"/>
        <v>51433806.093638882</v>
      </c>
      <c r="M16" s="7">
        <f t="shared" si="5"/>
        <v>517.43739261375958</v>
      </c>
    </row>
    <row r="17" spans="1:13">
      <c r="A17" s="2">
        <v>70</v>
      </c>
      <c r="B17" s="8">
        <v>5</v>
      </c>
      <c r="C17">
        <v>6212526</v>
      </c>
      <c r="D17" s="2">
        <v>3486</v>
      </c>
      <c r="E17" s="4">
        <f t="shared" si="0"/>
        <v>5.6112441219561898E-4</v>
      </c>
      <c r="F17" s="4">
        <f t="shared" si="6"/>
        <v>2.5</v>
      </c>
      <c r="G17" s="4">
        <f t="shared" si="7"/>
        <v>2.801691816793466E-3</v>
      </c>
      <c r="H17" s="4">
        <f t="shared" si="1"/>
        <v>0.99719830818320654</v>
      </c>
      <c r="I17" s="6">
        <f t="shared" si="3"/>
        <v>99174.993106146256</v>
      </c>
      <c r="J17" s="6">
        <f t="shared" si="2"/>
        <v>277.85776661603836</v>
      </c>
      <c r="K17" s="6">
        <f t="shared" si="8"/>
        <v>495180.32111419115</v>
      </c>
      <c r="L17" s="6">
        <f t="shared" si="4"/>
        <v>50937366.053714722</v>
      </c>
      <c r="M17" s="7">
        <f t="shared" si="5"/>
        <v>513.61098658405592</v>
      </c>
    </row>
    <row r="18" spans="1:13">
      <c r="A18" s="2">
        <v>75</v>
      </c>
      <c r="B18" s="8">
        <v>5</v>
      </c>
      <c r="C18">
        <v>4377511</v>
      </c>
      <c r="D18" s="2">
        <v>3465</v>
      </c>
      <c r="E18" s="4">
        <f t="shared" si="0"/>
        <v>7.9154569800053047E-4</v>
      </c>
      <c r="F18" s="4">
        <f t="shared" si="6"/>
        <v>2.5</v>
      </c>
      <c r="G18" s="4">
        <f t="shared" si="7"/>
        <v>3.9499121500779664E-3</v>
      </c>
      <c r="H18" s="4">
        <f t="shared" si="1"/>
        <v>0.99605008784992199</v>
      </c>
      <c r="I18" s="6">
        <f t="shared" si="3"/>
        <v>98897.135339530214</v>
      </c>
      <c r="J18" s="6">
        <f t="shared" si="2"/>
        <v>390.63499648551544</v>
      </c>
      <c r="K18" s="6">
        <f>(B18*I19)+(F18*J18)</f>
        <v>493509.08920643729</v>
      </c>
      <c r="L18" s="6">
        <f t="shared" si="4"/>
        <v>50442185.732600532</v>
      </c>
      <c r="M18" s="7">
        <f t="shared" si="5"/>
        <v>510.04698527843271</v>
      </c>
    </row>
    <row r="19" spans="1:13">
      <c r="A19" s="2">
        <v>80</v>
      </c>
      <c r="B19" s="8">
        <v>5</v>
      </c>
      <c r="C19">
        <v>2785655</v>
      </c>
      <c r="D19" s="2">
        <v>3142</v>
      </c>
      <c r="E19" s="4">
        <f t="shared" si="0"/>
        <v>1.1279214403793721E-3</v>
      </c>
      <c r="F19" s="4">
        <f t="shared" si="6"/>
        <v>2.5</v>
      </c>
      <c r="G19" s="4">
        <f t="shared" si="7"/>
        <v>5.6237493332760577E-3</v>
      </c>
      <c r="H19" s="4">
        <f t="shared" si="1"/>
        <v>0.99437625066672397</v>
      </c>
      <c r="I19" s="6">
        <f t="shared" si="3"/>
        <v>98506.500343044696</v>
      </c>
      <c r="J19" s="6">
        <f t="shared" si="2"/>
        <v>553.97586562755532</v>
      </c>
      <c r="K19" s="6">
        <f t="shared" ref="K19" si="9">(B19*I20)+(F19*J19)</f>
        <v>491147.56205115456</v>
      </c>
      <c r="L19" s="6">
        <f>K19+L20</f>
        <v>49948676.643394098</v>
      </c>
      <c r="M19" s="7">
        <f t="shared" si="5"/>
        <v>507.05970133392168</v>
      </c>
    </row>
    <row r="20" spans="1:13">
      <c r="A20" s="2" t="s">
        <v>12</v>
      </c>
      <c r="B20" s="8">
        <v>5</v>
      </c>
      <c r="C20">
        <v>2462462</v>
      </c>
      <c r="D20" s="2">
        <v>4877</v>
      </c>
      <c r="E20" s="4">
        <f t="shared" si="0"/>
        <v>1.9805381768327798E-3</v>
      </c>
      <c r="F20" s="4">
        <f t="shared" si="6"/>
        <v>2.5</v>
      </c>
      <c r="G20" s="4">
        <v>1</v>
      </c>
      <c r="H20" s="4">
        <f t="shared" si="1"/>
        <v>0</v>
      </c>
      <c r="I20" s="6">
        <f>I19*H19</f>
        <v>97952.524477417144</v>
      </c>
      <c r="J20" s="6">
        <f t="shared" si="2"/>
        <v>97952.524477417144</v>
      </c>
      <c r="K20" s="6">
        <f>I20/E20</f>
        <v>49457529.081342943</v>
      </c>
      <c r="L20" s="6">
        <f>I20/E20</f>
        <v>49457529.081342943</v>
      </c>
      <c r="M20" s="7">
        <f t="shared" si="5"/>
        <v>504.91326635226562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7AE8-89F0-4F66-9948-5FDA1C4E85D6}">
  <dimension ref="A1:M20"/>
  <sheetViews>
    <sheetView tabSelected="1" workbookViewId="0">
      <selection activeCell="M8" sqref="M8"/>
    </sheetView>
  </sheetViews>
  <sheetFormatPr baseColWidth="10" defaultRowHeight="14.4"/>
  <sheetData>
    <row r="1" spans="1:1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>
        <v>0</v>
      </c>
      <c r="B2" s="2">
        <v>1</v>
      </c>
      <c r="C2" s="3">
        <v>6530468</v>
      </c>
      <c r="D2" s="2">
        <v>547</v>
      </c>
      <c r="E2" s="4">
        <f>D2/C2</f>
        <v>8.3761225076058865E-5</v>
      </c>
      <c r="F2" s="5">
        <f>0.053 + 2.8 * E2</f>
        <v>5.3234531430212964E-2</v>
      </c>
      <c r="G2" s="4">
        <f>(B2*E2)/(1+(B2-F2)*E2)</f>
        <v>8.3754583150381077E-5</v>
      </c>
      <c r="H2" s="4">
        <f>1-G2</f>
        <v>0.99991624541684965</v>
      </c>
      <c r="I2" s="6">
        <v>100000</v>
      </c>
      <c r="J2" s="6">
        <f>I2*G2</f>
        <v>8.3754583150381077</v>
      </c>
      <c r="K2" s="6">
        <f>(B2*I3)+(F2*J2)</f>
        <v>99992.070405283885</v>
      </c>
      <c r="L2" s="6">
        <f>K2+L3</f>
        <v>47881522.032385811</v>
      </c>
      <c r="M2" s="7">
        <f>L2/I2</f>
        <v>478.81522032385811</v>
      </c>
    </row>
    <row r="3" spans="1:13">
      <c r="A3" s="8">
        <v>1</v>
      </c>
      <c r="B3" s="8">
        <v>4</v>
      </c>
      <c r="C3">
        <v>26121870</v>
      </c>
      <c r="D3" s="2">
        <v>140</v>
      </c>
      <c r="E3" s="4">
        <f t="shared" ref="E3:E20" si="0">D3/C3</f>
        <v>5.3594937881552891E-6</v>
      </c>
      <c r="F3" s="9">
        <f>1.522 - 1.518 * E2</f>
        <v>1.5218728504603345</v>
      </c>
      <c r="G3" s="4">
        <f>(B3*E3)/(1+(B3-F3)*E3)</f>
        <v>2.1437690427784302E-5</v>
      </c>
      <c r="H3" s="4">
        <f t="shared" ref="H3:H20" si="1">1-G3</f>
        <v>0.99997856230957216</v>
      </c>
      <c r="I3" s="6">
        <f>I2*H2</f>
        <v>99991.624541684971</v>
      </c>
      <c r="J3" s="6">
        <f t="shared" ref="J3:J20" si="2">I3*G3</f>
        <v>2.1435894922958818</v>
      </c>
      <c r="K3" s="6">
        <f>(B3*I4)+(F3*J3)</f>
        <v>399961.18607942155</v>
      </c>
      <c r="L3" s="6">
        <f>K3+L4</f>
        <v>47781529.961980529</v>
      </c>
      <c r="M3" s="7">
        <f>L3/I3</f>
        <v>477.85532219312171</v>
      </c>
    </row>
    <row r="4" spans="1:13">
      <c r="A4" s="8">
        <v>5</v>
      </c>
      <c r="B4" s="8">
        <v>5</v>
      </c>
      <c r="C4">
        <v>31832166</v>
      </c>
      <c r="D4" s="2">
        <v>63</v>
      </c>
      <c r="E4" s="4">
        <f t="shared" si="0"/>
        <v>1.9791301666371053E-6</v>
      </c>
      <c r="F4" s="4">
        <f>B4/2</f>
        <v>2.5</v>
      </c>
      <c r="G4" s="4">
        <f>(B4*E4)/(1+(B4-F4)*E4)</f>
        <v>9.8956018714750757E-6</v>
      </c>
      <c r="H4" s="4">
        <f t="shared" si="1"/>
        <v>0.99999010439812852</v>
      </c>
      <c r="I4" s="6">
        <f t="shared" ref="I4:I19" si="3">I3*H3</f>
        <v>99989.480952192665</v>
      </c>
      <c r="J4" s="6">
        <f t="shared" si="2"/>
        <v>0.98945609483833918</v>
      </c>
      <c r="K4" s="6">
        <f>(B4*I5)+(F4*J4)</f>
        <v>499944.93112072622</v>
      </c>
      <c r="L4" s="6">
        <f t="shared" ref="L4:L18" si="4">K4+L5</f>
        <v>47381568.775901109</v>
      </c>
      <c r="M4" s="7">
        <f t="shared" ref="M4:M20" si="5">L4/I4</f>
        <v>473.86553390106462</v>
      </c>
    </row>
    <row r="5" spans="1:13">
      <c r="A5" s="8">
        <v>10</v>
      </c>
      <c r="B5" s="8">
        <v>5</v>
      </c>
      <c r="C5">
        <v>31366517</v>
      </c>
      <c r="D5" s="2">
        <v>97</v>
      </c>
      <c r="E5" s="4">
        <f>D5/C5</f>
        <v>3.0924695910610668E-6</v>
      </c>
      <c r="F5" s="4">
        <f t="shared" ref="F5:F20" si="6">B5/2</f>
        <v>2.5</v>
      </c>
      <c r="G5" s="4">
        <f t="shared" ref="G5:G19" si="7">(B5*E5)/(1+(B5-F5)*E5)</f>
        <v>1.5462228414127383E-5</v>
      </c>
      <c r="H5" s="4">
        <f t="shared" si="1"/>
        <v>0.99998453777158591</v>
      </c>
      <c r="I5" s="6">
        <f t="shared" si="3"/>
        <v>99988.49149609782</v>
      </c>
      <c r="J5" s="6">
        <f t="shared" si="2"/>
        <v>1.546044894296698</v>
      </c>
      <c r="K5" s="6">
        <f t="shared" ref="K5:K17" si="8">(B5*I6)+(F5*J5)</f>
        <v>499938.59236825339</v>
      </c>
      <c r="L5" s="6">
        <f t="shared" si="4"/>
        <v>46881623.844780385</v>
      </c>
      <c r="M5" s="7">
        <f t="shared" si="5"/>
        <v>468.87019839288206</v>
      </c>
    </row>
    <row r="6" spans="1:13">
      <c r="A6" s="2">
        <v>15</v>
      </c>
      <c r="B6" s="8">
        <v>5</v>
      </c>
      <c r="C6">
        <v>29979620</v>
      </c>
      <c r="D6" s="2">
        <v>141</v>
      </c>
      <c r="E6" s="4">
        <f t="shared" si="0"/>
        <v>4.7031950371619119E-6</v>
      </c>
      <c r="F6" s="4">
        <f t="shared" si="6"/>
        <v>2.5</v>
      </c>
      <c r="G6" s="4">
        <f t="shared" si="7"/>
        <v>2.3515698688516142E-5</v>
      </c>
      <c r="H6" s="4">
        <f t="shared" si="1"/>
        <v>0.99997648430131147</v>
      </c>
      <c r="I6" s="6">
        <f t="shared" si="3"/>
        <v>99986.94545120353</v>
      </c>
      <c r="J6" s="6">
        <f t="shared" si="2"/>
        <v>2.3512628820156021</v>
      </c>
      <c r="K6" s="6">
        <f t="shared" si="8"/>
        <v>499928.84909881261</v>
      </c>
      <c r="L6" s="6">
        <f t="shared" si="4"/>
        <v>46381685.252412133</v>
      </c>
      <c r="M6" s="7">
        <f t="shared" si="5"/>
        <v>463.87740962691686</v>
      </c>
    </row>
    <row r="7" spans="1:13">
      <c r="A7" s="2">
        <v>20</v>
      </c>
      <c r="B7" s="8">
        <v>5</v>
      </c>
      <c r="C7">
        <v>27599694</v>
      </c>
      <c r="D7" s="2">
        <v>205</v>
      </c>
      <c r="E7" s="4">
        <f t="shared" si="0"/>
        <v>7.4276185815683322E-6</v>
      </c>
      <c r="F7" s="4">
        <f t="shared" si="6"/>
        <v>2.5</v>
      </c>
      <c r="G7" s="4">
        <f t="shared" si="7"/>
        <v>3.7137403301674568E-5</v>
      </c>
      <c r="H7" s="4">
        <f t="shared" si="1"/>
        <v>0.99996286259669831</v>
      </c>
      <c r="I7" s="6">
        <f t="shared" si="3"/>
        <v>99984.594188321513</v>
      </c>
      <c r="J7" s="6">
        <f t="shared" si="2"/>
        <v>3.7131681983259632</v>
      </c>
      <c r="K7" s="6">
        <f t="shared" si="8"/>
        <v>499913.68802111177</v>
      </c>
      <c r="L7" s="6">
        <f t="shared" si="4"/>
        <v>45881756.403313324</v>
      </c>
      <c r="M7" s="7">
        <f t="shared" si="5"/>
        <v>458.88825949420561</v>
      </c>
    </row>
    <row r="8" spans="1:13">
      <c r="A8" s="2">
        <v>25</v>
      </c>
      <c r="B8" s="8">
        <v>5</v>
      </c>
      <c r="C8">
        <v>25233028</v>
      </c>
      <c r="D8" s="2">
        <v>275</v>
      </c>
      <c r="E8" s="4">
        <f t="shared" si="0"/>
        <v>1.0898414569983436E-5</v>
      </c>
      <c r="F8" s="4">
        <f t="shared" si="6"/>
        <v>2.5</v>
      </c>
      <c r="G8" s="4">
        <f t="shared" si="7"/>
        <v>5.4490588197366331E-5</v>
      </c>
      <c r="H8" s="4">
        <f t="shared" si="1"/>
        <v>0.9999455094118026</v>
      </c>
      <c r="I8" s="6">
        <f t="shared" si="3"/>
        <v>99980.881020123183</v>
      </c>
      <c r="J8" s="6">
        <f t="shared" si="2"/>
        <v>5.4480170152774114</v>
      </c>
      <c r="K8" s="6">
        <f t="shared" si="8"/>
        <v>499890.78505807772</v>
      </c>
      <c r="L8" s="6">
        <f t="shared" si="4"/>
        <v>45381842.715292215</v>
      </c>
      <c r="M8" s="7">
        <f t="shared" si="5"/>
        <v>453.90520919852867</v>
      </c>
    </row>
    <row r="9" spans="1:13">
      <c r="A9" s="2">
        <v>30</v>
      </c>
      <c r="B9" s="8">
        <v>5</v>
      </c>
      <c r="C9">
        <v>23049100</v>
      </c>
      <c r="D9" s="2">
        <v>354</v>
      </c>
      <c r="E9" s="4">
        <f t="shared" si="0"/>
        <v>1.5358517252300522E-5</v>
      </c>
      <c r="F9" s="4">
        <f t="shared" si="6"/>
        <v>2.5</v>
      </c>
      <c r="G9" s="4">
        <f t="shared" si="7"/>
        <v>7.6789637824059315E-5</v>
      </c>
      <c r="H9" s="4">
        <f t="shared" si="1"/>
        <v>0.99992321036217591</v>
      </c>
      <c r="I9" s="6">
        <f t="shared" si="3"/>
        <v>99975.433003107901</v>
      </c>
      <c r="J9" s="6">
        <f t="shared" si="2"/>
        <v>7.6770772916121626</v>
      </c>
      <c r="K9" s="6">
        <f t="shared" si="8"/>
        <v>499857.97232231038</v>
      </c>
      <c r="L9" s="6">
        <f t="shared" si="4"/>
        <v>44881951.930234134</v>
      </c>
      <c r="M9" s="7">
        <f t="shared" si="5"/>
        <v>448.92980787428951</v>
      </c>
    </row>
    <row r="10" spans="1:13">
      <c r="A10" s="2">
        <v>35</v>
      </c>
      <c r="B10" s="8">
        <v>5</v>
      </c>
      <c r="C10">
        <v>20929695</v>
      </c>
      <c r="D10" s="2">
        <v>528</v>
      </c>
      <c r="E10" s="4">
        <f t="shared" si="0"/>
        <v>2.5227314588196341E-5</v>
      </c>
      <c r="F10" s="4">
        <f t="shared" si="6"/>
        <v>2.5</v>
      </c>
      <c r="G10" s="4">
        <f t="shared" si="7"/>
        <v>1.2612861822515538E-4</v>
      </c>
      <c r="H10" s="4">
        <f t="shared" si="1"/>
        <v>0.99987387138177486</v>
      </c>
      <c r="I10" s="6">
        <f t="shared" si="3"/>
        <v>99967.75592581628</v>
      </c>
      <c r="J10" s="6">
        <f t="shared" si="2"/>
        <v>12.608794921992796</v>
      </c>
      <c r="K10" s="6">
        <f t="shared" si="8"/>
        <v>499807.25764177641</v>
      </c>
      <c r="L10" s="6">
        <f t="shared" si="4"/>
        <v>44382093.957911827</v>
      </c>
      <c r="M10" s="7">
        <f t="shared" si="5"/>
        <v>443.96409169019194</v>
      </c>
    </row>
    <row r="11" spans="1:13">
      <c r="A11" s="2">
        <v>40</v>
      </c>
      <c r="B11" s="8">
        <v>5</v>
      </c>
      <c r="C11">
        <v>18719658</v>
      </c>
      <c r="D11" s="2">
        <v>759</v>
      </c>
      <c r="E11" s="4">
        <f t="shared" si="0"/>
        <v>4.054561253202382E-5</v>
      </c>
      <c r="F11" s="4">
        <f t="shared" si="6"/>
        <v>2.5</v>
      </c>
      <c r="G11" s="4">
        <f t="shared" si="7"/>
        <v>2.027075154091763E-4</v>
      </c>
      <c r="H11" s="4">
        <f t="shared" si="1"/>
        <v>0.99979729248459082</v>
      </c>
      <c r="I11" s="6">
        <f t="shared" si="3"/>
        <v>99955.147130894286</v>
      </c>
      <c r="J11" s="6">
        <f t="shared" si="2"/>
        <v>20.261659527262239</v>
      </c>
      <c r="K11" s="6">
        <f t="shared" si="8"/>
        <v>499725.08150565327</v>
      </c>
      <c r="L11" s="6">
        <f t="shared" si="4"/>
        <v>43882286.700270049</v>
      </c>
      <c r="M11" s="7">
        <f t="shared" si="5"/>
        <v>439.01977996995862</v>
      </c>
    </row>
    <row r="12" spans="1:13">
      <c r="A12" s="2">
        <v>45</v>
      </c>
      <c r="B12" s="8">
        <v>5</v>
      </c>
      <c r="C12">
        <v>16490818</v>
      </c>
      <c r="D12" s="2">
        <v>1155</v>
      </c>
      <c r="E12" s="4">
        <f t="shared" si="0"/>
        <v>7.0038975628740796E-5</v>
      </c>
      <c r="F12" s="4">
        <f t="shared" si="6"/>
        <v>2.5</v>
      </c>
      <c r="G12" s="4">
        <f t="shared" si="7"/>
        <v>3.5013357065214964E-4</v>
      </c>
      <c r="H12" s="4">
        <f t="shared" si="1"/>
        <v>0.99964986642934783</v>
      </c>
      <c r="I12" s="6">
        <f t="shared" si="3"/>
        <v>99934.885471367015</v>
      </c>
      <c r="J12" s="6">
        <f t="shared" si="2"/>
        <v>34.990558282803363</v>
      </c>
      <c r="K12" s="6">
        <f t="shared" si="8"/>
        <v>499586.95096112805</v>
      </c>
      <c r="L12" s="6">
        <f t="shared" si="4"/>
        <v>43382561.618764393</v>
      </c>
      <c r="M12" s="7">
        <f t="shared" si="5"/>
        <v>434.10828375036471</v>
      </c>
    </row>
    <row r="13" spans="1:13">
      <c r="A13" s="2">
        <v>50</v>
      </c>
      <c r="B13" s="8">
        <v>5</v>
      </c>
      <c r="C13">
        <v>14294717</v>
      </c>
      <c r="D13" s="2">
        <v>1571</v>
      </c>
      <c r="E13" s="4">
        <f t="shared" si="0"/>
        <v>1.0990074165161857E-4</v>
      </c>
      <c r="F13" s="4">
        <f t="shared" si="6"/>
        <v>2.5</v>
      </c>
      <c r="G13" s="4">
        <f t="shared" si="7"/>
        <v>5.4935277256525962E-4</v>
      </c>
      <c r="H13" s="4">
        <f t="shared" si="1"/>
        <v>0.99945064722743471</v>
      </c>
      <c r="I13" s="6">
        <f t="shared" si="3"/>
        <v>99899.894913084208</v>
      </c>
      <c r="J13" s="6">
        <f t="shared" si="2"/>
        <v>54.880284249480887</v>
      </c>
      <c r="K13" s="6">
        <f t="shared" si="8"/>
        <v>499362.27385479736</v>
      </c>
      <c r="L13" s="6">
        <f t="shared" si="4"/>
        <v>42882974.667803265</v>
      </c>
      <c r="M13" s="7">
        <f t="shared" si="5"/>
        <v>429.2594572307878</v>
      </c>
    </row>
    <row r="14" spans="1:13">
      <c r="A14" s="2">
        <v>55</v>
      </c>
      <c r="B14" s="8">
        <v>5</v>
      </c>
      <c r="C14">
        <v>12223322</v>
      </c>
      <c r="D14" s="2">
        <v>2072</v>
      </c>
      <c r="E14" s="4">
        <f t="shared" si="0"/>
        <v>1.6951201972753398E-4</v>
      </c>
      <c r="F14" s="4">
        <f t="shared" si="6"/>
        <v>2.5</v>
      </c>
      <c r="G14" s="4">
        <f t="shared" si="7"/>
        <v>8.472010717257111E-4</v>
      </c>
      <c r="H14" s="4">
        <f t="shared" si="1"/>
        <v>0.99915279892827424</v>
      </c>
      <c r="I14" s="6">
        <f t="shared" si="3"/>
        <v>99845.014628834731</v>
      </c>
      <c r="J14" s="6">
        <f t="shared" si="2"/>
        <v>84.588803400018094</v>
      </c>
      <c r="K14" s="6">
        <f t="shared" si="8"/>
        <v>499013.60113567364</v>
      </c>
      <c r="L14" s="6">
        <f t="shared" si="4"/>
        <v>42383612.393948466</v>
      </c>
      <c r="M14" s="7">
        <f t="shared" si="5"/>
        <v>424.49402758370968</v>
      </c>
    </row>
    <row r="15" spans="1:13">
      <c r="A15" s="2">
        <v>60</v>
      </c>
      <c r="B15" s="8">
        <v>5</v>
      </c>
      <c r="C15">
        <v>10231872</v>
      </c>
      <c r="D15" s="2">
        <v>2727</v>
      </c>
      <c r="E15" s="4">
        <f t="shared" si="0"/>
        <v>2.6652014411439079E-4</v>
      </c>
      <c r="F15" s="4">
        <f t="shared" si="6"/>
        <v>2.5</v>
      </c>
      <c r="G15" s="4">
        <f t="shared" si="7"/>
        <v>1.3317133994540998E-3</v>
      </c>
      <c r="H15" s="4">
        <f t="shared" si="1"/>
        <v>0.99866828660054585</v>
      </c>
      <c r="I15" s="6">
        <f t="shared" si="3"/>
        <v>99760.425825434708</v>
      </c>
      <c r="J15" s="6">
        <f t="shared" si="2"/>
        <v>132.85229580697822</v>
      </c>
      <c r="K15" s="6">
        <f t="shared" si="8"/>
        <v>498469.99838765612</v>
      </c>
      <c r="L15" s="6">
        <f t="shared" si="4"/>
        <v>41884598.792812794</v>
      </c>
      <c r="M15" s="7">
        <f t="shared" si="5"/>
        <v>419.85184451903154</v>
      </c>
    </row>
    <row r="16" spans="1:13">
      <c r="A16" s="2">
        <v>65</v>
      </c>
      <c r="B16" s="8">
        <v>5</v>
      </c>
      <c r="C16">
        <v>8200865</v>
      </c>
      <c r="D16" s="2">
        <v>2887</v>
      </c>
      <c r="E16" s="4">
        <f t="shared" si="0"/>
        <v>3.5203603522311367E-4</v>
      </c>
      <c r="F16" s="4">
        <f t="shared" si="6"/>
        <v>2.5</v>
      </c>
      <c r="G16" s="4">
        <f t="shared" si="7"/>
        <v>1.7586324211531742E-3</v>
      </c>
      <c r="H16" s="4">
        <f t="shared" si="1"/>
        <v>0.99824136757884685</v>
      </c>
      <c r="I16" s="6">
        <f t="shared" si="3"/>
        <v>99627.573529627727</v>
      </c>
      <c r="J16" s="6">
        <f t="shared" si="2"/>
        <v>175.20828085002509</v>
      </c>
      <c r="K16" s="6">
        <f t="shared" si="8"/>
        <v>497699.84694601351</v>
      </c>
      <c r="L16" s="6">
        <f t="shared" si="4"/>
        <v>41386128.794425137</v>
      </c>
      <c r="M16" s="7">
        <f t="shared" si="5"/>
        <v>415.40837870669941</v>
      </c>
    </row>
    <row r="17" spans="1:13">
      <c r="A17" s="2">
        <v>70</v>
      </c>
      <c r="B17" s="8">
        <v>5</v>
      </c>
      <c r="C17">
        <v>6212353</v>
      </c>
      <c r="D17" s="2">
        <v>2861</v>
      </c>
      <c r="E17" s="4">
        <f t="shared" si="0"/>
        <v>4.6053403597638449E-4</v>
      </c>
      <c r="F17" s="4">
        <f t="shared" si="6"/>
        <v>2.5</v>
      </c>
      <c r="G17" s="4">
        <f t="shared" si="7"/>
        <v>2.3000220837492628E-3</v>
      </c>
      <c r="H17" s="4">
        <f t="shared" si="1"/>
        <v>0.99769997791625076</v>
      </c>
      <c r="I17" s="6">
        <f t="shared" si="3"/>
        <v>99452.3652487777</v>
      </c>
      <c r="J17" s="6">
        <f t="shared" si="2"/>
        <v>228.74263635328646</v>
      </c>
      <c r="K17" s="6">
        <f t="shared" si="8"/>
        <v>496689.9696530053</v>
      </c>
      <c r="L17" s="6">
        <f t="shared" si="4"/>
        <v>40888428.947479121</v>
      </c>
      <c r="M17" s="7">
        <f t="shared" si="5"/>
        <v>411.1358120563317</v>
      </c>
    </row>
    <row r="18" spans="1:13">
      <c r="A18" s="2">
        <v>75</v>
      </c>
      <c r="B18" s="8">
        <v>5</v>
      </c>
      <c r="C18">
        <v>4377414</v>
      </c>
      <c r="D18" s="2">
        <v>3053</v>
      </c>
      <c r="E18" s="4">
        <f t="shared" si="0"/>
        <v>6.9744374189875571E-4</v>
      </c>
      <c r="F18" s="4">
        <f t="shared" si="6"/>
        <v>2.5</v>
      </c>
      <c r="G18" s="4">
        <f t="shared" si="7"/>
        <v>3.4811489456269161E-3</v>
      </c>
      <c r="H18" s="4">
        <f t="shared" si="1"/>
        <v>0.9965188510543731</v>
      </c>
      <c r="I18" s="6">
        <f t="shared" si="3"/>
        <v>99223.622612424413</v>
      </c>
      <c r="J18" s="6">
        <f t="shared" si="2"/>
        <v>345.41220923852427</v>
      </c>
      <c r="K18" s="6">
        <f>(B18*I19)+(F18*J18)</f>
        <v>495254.58253902581</v>
      </c>
      <c r="L18" s="6">
        <f t="shared" si="4"/>
        <v>40391738.977826118</v>
      </c>
      <c r="M18" s="7">
        <f t="shared" si="5"/>
        <v>407.07785015670669</v>
      </c>
    </row>
    <row r="19" spans="1:13">
      <c r="A19" s="2">
        <v>80</v>
      </c>
      <c r="B19" s="8">
        <v>5</v>
      </c>
      <c r="C19">
        <v>2785593</v>
      </c>
      <c r="D19" s="2">
        <v>3261</v>
      </c>
      <c r="E19" s="4">
        <f t="shared" si="0"/>
        <v>1.1706663536273964E-3</v>
      </c>
      <c r="F19" s="4">
        <f t="shared" si="6"/>
        <v>2.5</v>
      </c>
      <c r="G19" s="4">
        <f t="shared" si="7"/>
        <v>5.8362510114110247E-3</v>
      </c>
      <c r="H19" s="4">
        <f t="shared" si="1"/>
        <v>0.99416374898858895</v>
      </c>
      <c r="I19" s="6">
        <f t="shared" si="3"/>
        <v>98878.210403185891</v>
      </c>
      <c r="J19" s="6">
        <f t="shared" si="2"/>
        <v>577.0780554721058</v>
      </c>
      <c r="K19" s="6">
        <f t="shared" ref="K19" si="9">(B19*I20)+(F19*J19)</f>
        <v>492948.3568772492</v>
      </c>
      <c r="L19" s="6">
        <f>K19+L20</f>
        <v>39896484.395287089</v>
      </c>
      <c r="M19" s="7">
        <f t="shared" si="5"/>
        <v>403.49116587572877</v>
      </c>
    </row>
    <row r="20" spans="1:13">
      <c r="A20" s="2" t="s">
        <v>12</v>
      </c>
      <c r="B20" s="8">
        <v>5</v>
      </c>
      <c r="C20">
        <v>2462392</v>
      </c>
      <c r="D20" s="2">
        <v>6143</v>
      </c>
      <c r="E20" s="4">
        <f t="shared" si="0"/>
        <v>2.4947287028222963E-3</v>
      </c>
      <c r="F20" s="4">
        <f t="shared" si="6"/>
        <v>2.5</v>
      </c>
      <c r="G20" s="4">
        <v>1</v>
      </c>
      <c r="H20" s="4">
        <f t="shared" si="1"/>
        <v>0</v>
      </c>
      <c r="I20" s="6">
        <f>I19*H19</f>
        <v>98301.132347713778</v>
      </c>
      <c r="J20" s="6">
        <f t="shared" si="2"/>
        <v>98301.132347713778</v>
      </c>
      <c r="K20" s="6">
        <f>I20/E20</f>
        <v>39403536.038409837</v>
      </c>
      <c r="L20" s="6">
        <f>I20/E20</f>
        <v>39403536.038409837</v>
      </c>
      <c r="M20" s="7">
        <f t="shared" si="5"/>
        <v>400.84518964675243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MORTALIDAD 2021 HOMBRES</vt:lpstr>
      <vt:lpstr>TABLA MORTALIDAD 2021 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castro</dc:creator>
  <cp:lastModifiedBy>neto castro</cp:lastModifiedBy>
  <dcterms:created xsi:type="dcterms:W3CDTF">2026-05-18T02:00:53Z</dcterms:created>
  <dcterms:modified xsi:type="dcterms:W3CDTF">2026-05-18T02:39:02Z</dcterms:modified>
</cp:coreProperties>
</file>