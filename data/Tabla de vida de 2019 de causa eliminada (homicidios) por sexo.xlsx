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9cb8d1ec73e6b7/Escritorio/Fac. ciencias/3er semestre/"/>
    </mc:Choice>
  </mc:AlternateContent>
  <xr:revisionPtr revIDLastSave="0" documentId="8_{E15BAA6C-29DD-4682-9336-1C49D910EB9C}" xr6:coauthVersionLast="47" xr6:coauthVersionMax="47" xr10:uidLastSave="{00000000-0000-0000-0000-000000000000}"/>
  <bookViews>
    <workbookView xWindow="-108" yWindow="-108" windowWidth="23256" windowHeight="12456" xr2:uid="{CBF16284-FE38-42D1-B87B-60B87D200098}"/>
  </bookViews>
  <sheets>
    <sheet name="Tabla de vida CE (femenina)" sheetId="3" r:id="rId1"/>
    <sheet name="Tabla de vida CE (masculina)" sheetId="4" r:id="rId2"/>
  </sheets>
  <definedNames>
    <definedName name="_xlchart.v1.0" hidden="1">'Tabla de vida CE (femenina)'!$O$3</definedName>
    <definedName name="_xlchart.v1.1" hidden="1">'Tabla de vida CE (femenina)'!$O$4:$O$22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4" l="1"/>
  <c r="F22" i="4"/>
  <c r="Q22" i="4" s="1"/>
  <c r="P22" i="4" s="1"/>
  <c r="F21" i="4"/>
  <c r="Q21" i="4" s="1"/>
  <c r="P21" i="4" s="1"/>
  <c r="F20" i="4"/>
  <c r="Q20" i="4" s="1"/>
  <c r="P20" i="4" s="1"/>
  <c r="F19" i="4"/>
  <c r="Q19" i="4" s="1"/>
  <c r="P19" i="4" s="1"/>
  <c r="F18" i="4"/>
  <c r="Q18" i="4" s="1"/>
  <c r="P18" i="4" s="1"/>
  <c r="F17" i="4"/>
  <c r="Q17" i="4" s="1"/>
  <c r="P17" i="4" s="1"/>
  <c r="F16" i="4"/>
  <c r="Q16" i="4" s="1"/>
  <c r="P16" i="4" s="1"/>
  <c r="F15" i="4"/>
  <c r="Q15" i="4" s="1"/>
  <c r="P15" i="4" s="1"/>
  <c r="F14" i="4"/>
  <c r="Q14" i="4" s="1"/>
  <c r="P14" i="4" s="1"/>
  <c r="F13" i="4"/>
  <c r="Q13" i="4" s="1"/>
  <c r="P13" i="4" s="1"/>
  <c r="F12" i="4"/>
  <c r="Q12" i="4" s="1"/>
  <c r="P12" i="4" s="1"/>
  <c r="F11" i="4"/>
  <c r="Q11" i="4" s="1"/>
  <c r="P11" i="4" s="1"/>
  <c r="F10" i="4"/>
  <c r="Q10" i="4" s="1"/>
  <c r="P10" i="4" s="1"/>
  <c r="F9" i="4"/>
  <c r="Q9" i="4" s="1"/>
  <c r="P9" i="4" s="1"/>
  <c r="F8" i="4"/>
  <c r="Q8" i="4" s="1"/>
  <c r="P8" i="4" s="1"/>
  <c r="F7" i="4"/>
  <c r="Q7" i="4" s="1"/>
  <c r="P7" i="4" s="1"/>
  <c r="F6" i="4"/>
  <c r="Q6" i="4" s="1"/>
  <c r="P6" i="4" s="1"/>
  <c r="F5" i="4"/>
  <c r="Q5" i="4" s="1"/>
  <c r="P5" i="4" s="1"/>
  <c r="Q4" i="4"/>
  <c r="P4" i="4" s="1"/>
  <c r="R4" i="4" s="1"/>
  <c r="V22" i="3"/>
  <c r="U19" i="3"/>
  <c r="U18" i="3" s="1"/>
  <c r="U17" i="3" s="1"/>
  <c r="U16" i="3" s="1"/>
  <c r="U15" i="3" s="1"/>
  <c r="U14" i="3" s="1"/>
  <c r="U13" i="3" s="1"/>
  <c r="U12" i="3" s="1"/>
  <c r="U11" i="3" s="1"/>
  <c r="U10" i="3" s="1"/>
  <c r="U9" i="3" s="1"/>
  <c r="U8" i="3" s="1"/>
  <c r="U7" i="3" s="1"/>
  <c r="U6" i="3" s="1"/>
  <c r="U5" i="3" s="1"/>
  <c r="U4" i="3" s="1"/>
  <c r="U20" i="3"/>
  <c r="U21" i="3"/>
  <c r="U22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2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4" i="3"/>
  <c r="R9" i="3"/>
  <c r="R10" i="3"/>
  <c r="R11" i="3"/>
  <c r="R12" i="3"/>
  <c r="R13" i="3"/>
  <c r="R14" i="3"/>
  <c r="R15" i="3" s="1"/>
  <c r="R16" i="3" s="1"/>
  <c r="R17" i="3" s="1"/>
  <c r="R18" i="3" s="1"/>
  <c r="R19" i="3" s="1"/>
  <c r="R20" i="3" s="1"/>
  <c r="R21" i="3" s="1"/>
  <c r="R22" i="3" s="1"/>
  <c r="R8" i="3"/>
  <c r="R7" i="3"/>
  <c r="R6" i="3"/>
  <c r="R5" i="3"/>
  <c r="R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4" i="3"/>
  <c r="F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5" i="3"/>
  <c r="S4" i="4" l="1"/>
  <c r="T4" i="4" s="1"/>
  <c r="R5" i="4"/>
  <c r="S5" i="4" l="1"/>
  <c r="T5" i="4" s="1"/>
  <c r="R6" i="4"/>
  <c r="S6" i="4" l="1"/>
  <c r="T6" i="4" s="1"/>
  <c r="R7" i="4"/>
  <c r="S7" i="4" l="1"/>
  <c r="T7" i="4" s="1"/>
  <c r="R8" i="4"/>
  <c r="S8" i="4" l="1"/>
  <c r="T8" i="4" s="1"/>
  <c r="R9" i="4"/>
  <c r="S9" i="4" l="1"/>
  <c r="T9" i="4" s="1"/>
  <c r="R10" i="4"/>
  <c r="S10" i="4" l="1"/>
  <c r="T10" i="4" s="1"/>
  <c r="R11" i="4"/>
  <c r="S11" i="4" l="1"/>
  <c r="T11" i="4" s="1"/>
  <c r="R12" i="4"/>
  <c r="S12" i="4" l="1"/>
  <c r="T12" i="4" s="1"/>
  <c r="R13" i="4"/>
  <c r="S13" i="4" l="1"/>
  <c r="T13" i="4" s="1"/>
  <c r="R14" i="4"/>
  <c r="S14" i="4" l="1"/>
  <c r="T14" i="4" s="1"/>
  <c r="R15" i="4"/>
  <c r="S15" i="4" l="1"/>
  <c r="T15" i="4" s="1"/>
  <c r="R16" i="4"/>
  <c r="S16" i="4" l="1"/>
  <c r="T16" i="4" s="1"/>
  <c r="R17" i="4"/>
  <c r="S17" i="4" l="1"/>
  <c r="T17" i="4" s="1"/>
  <c r="R18" i="4"/>
  <c r="S18" i="4" l="1"/>
  <c r="T18" i="4" s="1"/>
  <c r="R19" i="4"/>
  <c r="T21" i="3"/>
  <c r="S19" i="4" l="1"/>
  <c r="T19" i="4" s="1"/>
  <c r="R20" i="4"/>
  <c r="S20" i="4" l="1"/>
  <c r="T20" i="4" s="1"/>
  <c r="R21" i="4"/>
  <c r="V21" i="3"/>
  <c r="S21" i="4" l="1"/>
  <c r="T21" i="4" s="1"/>
  <c r="R22" i="4"/>
  <c r="V20" i="3"/>
  <c r="U22" i="4" l="1"/>
  <c r="T22" i="4"/>
  <c r="S22" i="4"/>
  <c r="V19" i="3"/>
  <c r="V22" i="4" l="1"/>
  <c r="U21" i="4"/>
  <c r="V18" i="3"/>
  <c r="V21" i="4" l="1"/>
  <c r="U20" i="4"/>
  <c r="V17" i="3"/>
  <c r="V20" i="4" l="1"/>
  <c r="U19" i="4"/>
  <c r="V16" i="3"/>
  <c r="V19" i="4" l="1"/>
  <c r="U18" i="4"/>
  <c r="V15" i="3"/>
  <c r="V18" i="4" l="1"/>
  <c r="U17" i="4"/>
  <c r="V14" i="3"/>
  <c r="V17" i="4" l="1"/>
  <c r="U16" i="4"/>
  <c r="V13" i="3"/>
  <c r="V16" i="4" l="1"/>
  <c r="U15" i="4"/>
  <c r="V12" i="3"/>
  <c r="V15" i="4" l="1"/>
  <c r="U14" i="4"/>
  <c r="V11" i="3"/>
  <c r="V14" i="4" l="1"/>
  <c r="U13" i="4"/>
  <c r="V10" i="3"/>
  <c r="V13" i="4" l="1"/>
  <c r="U12" i="4"/>
  <c r="V9" i="3"/>
  <c r="V12" i="4" l="1"/>
  <c r="U11" i="4"/>
  <c r="V8" i="3"/>
  <c r="V11" i="4" l="1"/>
  <c r="U10" i="4"/>
  <c r="V7" i="3"/>
  <c r="V10" i="4" l="1"/>
  <c r="U9" i="4"/>
  <c r="V6" i="3"/>
  <c r="V9" i="4" l="1"/>
  <c r="U8" i="4"/>
  <c r="V4" i="3"/>
  <c r="V5" i="3"/>
  <c r="V8" i="4" l="1"/>
  <c r="U7" i="4"/>
  <c r="V7" i="4" l="1"/>
  <c r="U6" i="4"/>
  <c r="V6" i="4" l="1"/>
  <c r="U5" i="4"/>
  <c r="V5" i="4" l="1"/>
  <c r="U4" i="4"/>
  <c r="V4" i="4" s="1"/>
</calcChain>
</file>

<file path=xl/sharedStrings.xml><?xml version="1.0" encoding="utf-8"?>
<sst xmlns="http://schemas.openxmlformats.org/spreadsheetml/2006/main" count="36" uniqueCount="19">
  <si>
    <t>x (edad)</t>
  </si>
  <si>
    <t>n</t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</si>
  <si>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N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</si>
  <si>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D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</si>
  <si>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m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</si>
  <si>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a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</si>
  <si>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q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</si>
  <si>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p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</si>
  <si>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t>l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</si>
  <si>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d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</si>
  <si>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L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</si>
  <si>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x</t>
    </r>
  </si>
  <si>
    <t>85+</t>
  </si>
  <si>
    <r>
      <t>l</t>
    </r>
    <r>
      <rPr>
        <b/>
        <vertAlign val="subscript"/>
        <sz val="11"/>
        <color theme="0"/>
        <rFont val="Aptos Narrow"/>
        <family val="2"/>
        <scheme val="minor"/>
      </rPr>
      <t>x</t>
    </r>
    <r>
      <rPr>
        <b/>
        <sz val="11"/>
        <color theme="0"/>
        <rFont val="Aptos Narrow"/>
        <family val="2"/>
        <scheme val="minor"/>
      </rPr>
      <t>_ce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</si>
  <si>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d</t>
    </r>
    <r>
      <rPr>
        <b/>
        <vertAlign val="subscript"/>
        <sz val="11"/>
        <color theme="0"/>
        <rFont val="Aptos Narrow"/>
        <family val="2"/>
        <scheme val="minor"/>
      </rPr>
      <t>x</t>
    </r>
    <r>
      <rPr>
        <b/>
        <sz val="11"/>
        <color theme="0"/>
        <rFont val="Aptos Narrow"/>
        <family val="2"/>
        <scheme val="minor"/>
      </rPr>
      <t>_ce</t>
    </r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</si>
  <si>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L</t>
    </r>
    <r>
      <rPr>
        <b/>
        <vertAlign val="subscript"/>
        <sz val="11"/>
        <color theme="0"/>
        <rFont val="Aptos Narrow"/>
        <family val="2"/>
        <scheme val="minor"/>
      </rPr>
      <t>x</t>
    </r>
    <r>
      <rPr>
        <b/>
        <sz val="11"/>
        <color theme="0"/>
        <rFont val="Aptos Narrow"/>
        <family val="2"/>
        <scheme val="minor"/>
      </rPr>
      <t>_ce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</si>
  <si>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x</t>
    </r>
    <r>
      <rPr>
        <b/>
        <sz val="11"/>
        <color theme="0"/>
        <rFont val="Aptos Narrow"/>
        <family val="2"/>
        <scheme val="minor"/>
      </rPr>
      <t>_ce</t>
    </r>
  </si>
  <si>
    <t>Puebla: Tabla de vida de 2019 de causa eliminada (homicidios) femenina, 2019</t>
  </si>
  <si>
    <t>Puebla: Tabla de vida de 2019 de causa eliminada (homicidios) masculina,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</si>
</sst>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quotePrefix="1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302895</xdr:colOff>
      <xdr:row>1</xdr:row>
      <xdr:rowOff>179070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2603A4-B022-4B99-AE88-ABFA7B051A1A}"/>
            </a:ext>
          </a:extLst>
        </xdr:cNvPr>
        <xdr:cNvSpPr txBox="1"/>
      </xdr:nvSpPr>
      <xdr:spPr>
        <a:xfrm>
          <a:off x="10605135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302895</xdr:colOff>
      <xdr:row>1</xdr:row>
      <xdr:rowOff>179070</xdr:rowOff>
    </xdr:from>
    <xdr:ext cx="286104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1">
              <a:extLst>
                <a:ext uri="{FF2B5EF4-FFF2-40B4-BE49-F238E27FC236}">
                  <a16:creationId xmlns:a16="http://schemas.microsoft.com/office/drawing/2014/main" id="{A50C0F6B-8B8D-47A3-BE88-E3C60BF1CC61}"/>
                </a:ext>
              </a:extLst>
            </xdr:cNvPr>
            <xdr:cNvSpPr txBox="1"/>
          </xdr:nvSpPr>
          <xdr:spPr>
            <a:xfrm>
              <a:off x="10605135" y="361950"/>
              <a:ext cx="286104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1">
              <a:extLst>
                <a:ext uri="{FF2B5EF4-FFF2-40B4-BE49-F238E27FC236}">
                  <a16:creationId xmlns:a16="http://schemas.microsoft.com/office/drawing/2014/main" id="{A50C0F6B-8B8D-47A3-BE88-E3C60BF1CC61}"/>
                </a:ext>
              </a:extLst>
            </xdr:cNvPr>
            <xdr:cNvSpPr txBox="1"/>
          </xdr:nvSpPr>
          <xdr:spPr>
            <a:xfrm>
              <a:off x="10605135" y="361950"/>
              <a:ext cx="286104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𝐷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302895</xdr:colOff>
      <xdr:row>1</xdr:row>
      <xdr:rowOff>179070</xdr:rowOff>
    </xdr:from>
    <xdr:ext cx="65" cy="172227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938D8950-282E-484F-9EBE-77B8E2A51671}"/>
            </a:ext>
          </a:extLst>
        </xdr:cNvPr>
        <xdr:cNvSpPr txBox="1"/>
      </xdr:nvSpPr>
      <xdr:spPr>
        <a:xfrm>
          <a:off x="11397615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302895</xdr:colOff>
      <xdr:row>1</xdr:row>
      <xdr:rowOff>179070</xdr:rowOff>
    </xdr:from>
    <xdr:ext cx="220830" cy="1921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1">
              <a:extLst>
                <a:ext uri="{FF2B5EF4-FFF2-40B4-BE49-F238E27FC236}">
                  <a16:creationId xmlns:a16="http://schemas.microsoft.com/office/drawing/2014/main" id="{105CC3D7-DC5D-4BA9-B948-810D6F9ECA25}"/>
                </a:ext>
              </a:extLst>
            </xdr:cNvPr>
            <xdr:cNvSpPr txBox="1"/>
          </xdr:nvSpPr>
          <xdr:spPr>
            <a:xfrm>
              <a:off x="4265295" y="361950"/>
              <a:ext cx="220830" cy="192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/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1">
              <a:extLst>
                <a:ext uri="{FF2B5EF4-FFF2-40B4-BE49-F238E27FC236}">
                  <a16:creationId xmlns:a16="http://schemas.microsoft.com/office/drawing/2014/main" id="{105CC3D7-DC5D-4BA9-B948-810D6F9ECA25}"/>
                </a:ext>
              </a:extLst>
            </xdr:cNvPr>
            <xdr:cNvSpPr txBox="1"/>
          </xdr:nvSpPr>
          <xdr:spPr>
            <a:xfrm>
              <a:off x="4265295" y="361950"/>
              <a:ext cx="220830" cy="192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302895</xdr:colOff>
      <xdr:row>1</xdr:row>
      <xdr:rowOff>179070</xdr:rowOff>
    </xdr:from>
    <xdr:ext cx="169277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">
              <a:extLst>
                <a:ext uri="{FF2B5EF4-FFF2-40B4-BE49-F238E27FC236}">
                  <a16:creationId xmlns:a16="http://schemas.microsoft.com/office/drawing/2014/main" id="{B62B5A60-E767-4804-A248-E1D7A0BE1559}"/>
                </a:ext>
              </a:extLst>
            </xdr:cNvPr>
            <xdr:cNvSpPr txBox="1"/>
          </xdr:nvSpPr>
          <xdr:spPr>
            <a:xfrm>
              <a:off x="9812655" y="36195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">
              <a:extLst>
                <a:ext uri="{FF2B5EF4-FFF2-40B4-BE49-F238E27FC236}">
                  <a16:creationId xmlns:a16="http://schemas.microsoft.com/office/drawing/2014/main" id="{B62B5A60-E767-4804-A248-E1D7A0BE1559}"/>
                </a:ext>
              </a:extLst>
            </xdr:cNvPr>
            <xdr:cNvSpPr txBox="1"/>
          </xdr:nvSpPr>
          <xdr:spPr>
            <a:xfrm>
              <a:off x="9812655" y="36195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219075</xdr:colOff>
      <xdr:row>2</xdr:row>
      <xdr:rowOff>19050</xdr:rowOff>
    </xdr:from>
    <xdr:ext cx="65" cy="172227"/>
    <xdr:sp macro="" textlink="">
      <xdr:nvSpPr>
        <xdr:cNvPr id="15" name="TextBox 1">
          <a:extLst>
            <a:ext uri="{FF2B5EF4-FFF2-40B4-BE49-F238E27FC236}">
              <a16:creationId xmlns:a16="http://schemas.microsoft.com/office/drawing/2014/main" id="{D8669A46-0E25-46E0-BC03-B8A2F1EDE525}"/>
            </a:ext>
          </a:extLst>
        </xdr:cNvPr>
        <xdr:cNvSpPr txBox="1"/>
      </xdr:nvSpPr>
      <xdr:spPr>
        <a:xfrm>
          <a:off x="972883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219075</xdr:colOff>
      <xdr:row>2</xdr:row>
      <xdr:rowOff>19050</xdr:rowOff>
    </xdr:from>
    <xdr:ext cx="65" cy="172227"/>
    <xdr:sp macro="" textlink="">
      <xdr:nvSpPr>
        <xdr:cNvPr id="17" name="TextBox 1">
          <a:extLst>
            <a:ext uri="{FF2B5EF4-FFF2-40B4-BE49-F238E27FC236}">
              <a16:creationId xmlns:a16="http://schemas.microsoft.com/office/drawing/2014/main" id="{1D81A4F0-7C15-4488-B36D-FC77512BAD63}"/>
            </a:ext>
          </a:extLst>
        </xdr:cNvPr>
        <xdr:cNvSpPr txBox="1"/>
      </xdr:nvSpPr>
      <xdr:spPr>
        <a:xfrm>
          <a:off x="1131379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168840</xdr:colOff>
      <xdr:row>1</xdr:row>
      <xdr:rowOff>172014</xdr:rowOff>
    </xdr:from>
    <xdr:ext cx="531171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">
              <a:extLst>
                <a:ext uri="{FF2B5EF4-FFF2-40B4-BE49-F238E27FC236}">
                  <a16:creationId xmlns:a16="http://schemas.microsoft.com/office/drawing/2014/main" id="{8F4A7B54-25C2-4D9C-834E-CD98E07C9B46}"/>
                </a:ext>
              </a:extLst>
            </xdr:cNvPr>
            <xdr:cNvSpPr txBox="1"/>
          </xdr:nvSpPr>
          <xdr:spPr>
            <a:xfrm>
              <a:off x="12022173" y="355458"/>
              <a:ext cx="531171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(−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_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𝑐𝑒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">
              <a:extLst>
                <a:ext uri="{FF2B5EF4-FFF2-40B4-BE49-F238E27FC236}">
                  <a16:creationId xmlns:a16="http://schemas.microsoft.com/office/drawing/2014/main" id="{8F4A7B54-25C2-4D9C-834E-CD98E07C9B46}"/>
                </a:ext>
              </a:extLst>
            </xdr:cNvPr>
            <xdr:cNvSpPr txBox="1"/>
          </xdr:nvSpPr>
          <xdr:spPr>
            <a:xfrm>
              <a:off x="12022173" y="355458"/>
              <a:ext cx="531171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(−ℎ)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_𝑐𝑒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219075</xdr:colOff>
      <xdr:row>2</xdr:row>
      <xdr:rowOff>19050</xdr:rowOff>
    </xdr:from>
    <xdr:ext cx="65" cy="172227"/>
    <xdr:sp macro="" textlink="">
      <xdr:nvSpPr>
        <xdr:cNvPr id="19" name="TextBox 1">
          <a:extLst>
            <a:ext uri="{FF2B5EF4-FFF2-40B4-BE49-F238E27FC236}">
              <a16:creationId xmlns:a16="http://schemas.microsoft.com/office/drawing/2014/main" id="{8669E243-8AA8-4457-BEAD-FA36ECA8222E}"/>
            </a:ext>
          </a:extLst>
        </xdr:cNvPr>
        <xdr:cNvSpPr txBox="1"/>
      </xdr:nvSpPr>
      <xdr:spPr>
        <a:xfrm>
          <a:off x="12150391" y="3799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21</xdr:col>
      <xdr:colOff>276158</xdr:colOff>
      <xdr:row>1</xdr:row>
      <xdr:rowOff>179070</xdr:rowOff>
    </xdr:from>
    <xdr:ext cx="337721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">
              <a:extLst>
                <a:ext uri="{FF2B5EF4-FFF2-40B4-BE49-F238E27FC236}">
                  <a16:creationId xmlns:a16="http://schemas.microsoft.com/office/drawing/2014/main" id="{B5F59050-D4EC-4B3C-93A5-A31907D42EF5}"/>
                </a:ext>
              </a:extLst>
            </xdr:cNvPr>
            <xdr:cNvSpPr txBox="1"/>
          </xdr:nvSpPr>
          <xdr:spPr>
            <a:xfrm>
              <a:off x="17626312" y="364685"/>
              <a:ext cx="33772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𝑒</m:t>
                      </m:r>
                    </m:e>
                    <m:sub>
                      <m:r>
                        <a:rPr lang="en-US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</m:sub>
                    <m:sup>
                      <m:r>
                        <a:rPr lang="en-US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0</m:t>
                      </m:r>
                    </m:sup>
                  </m:sSubSup>
                </m:oMath>
              </a14:m>
              <a:r>
                <a:rPr lang="en-US" sz="1100">
                  <a:solidFill>
                    <a:schemeClr val="bg1"/>
                  </a:solidFill>
                </a:rPr>
                <a:t>_ce</a:t>
              </a:r>
            </a:p>
          </xdr:txBody>
        </xdr:sp>
      </mc:Choice>
      <mc:Fallback>
        <xdr:sp macro="" textlink="">
          <xdr:nvSpPr>
            <xdr:cNvPr id="20" name="TextBox 1">
              <a:extLst>
                <a:ext uri="{FF2B5EF4-FFF2-40B4-BE49-F238E27FC236}">
                  <a16:creationId xmlns:a16="http://schemas.microsoft.com/office/drawing/2014/main" id="{B5F59050-D4EC-4B3C-93A5-A31907D42EF5}"/>
                </a:ext>
              </a:extLst>
            </xdr:cNvPr>
            <xdr:cNvSpPr txBox="1"/>
          </xdr:nvSpPr>
          <xdr:spPr>
            <a:xfrm>
              <a:off x="17626312" y="364685"/>
              <a:ext cx="33772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r>
                <a:rPr lang="en-US" sz="1100">
                  <a:solidFill>
                    <a:schemeClr val="bg1"/>
                  </a:solidFill>
                </a:rPr>
                <a:t>_ce</a:t>
              </a:r>
            </a:p>
          </xdr:txBody>
        </xdr:sp>
      </mc:Fallback>
    </mc:AlternateContent>
    <xdr:clientData/>
  </xdr:oneCellAnchor>
  <xdr:oneCellAnchor>
    <xdr:from>
      <xdr:col>21</xdr:col>
      <xdr:colOff>219075</xdr:colOff>
      <xdr:row>2</xdr:row>
      <xdr:rowOff>19050</xdr:rowOff>
    </xdr:from>
    <xdr:ext cx="65" cy="172227"/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754C60BB-E648-482B-8941-569E92E0A1B0}"/>
            </a:ext>
          </a:extLst>
        </xdr:cNvPr>
        <xdr:cNvSpPr txBox="1"/>
      </xdr:nvSpPr>
      <xdr:spPr>
        <a:xfrm>
          <a:off x="11354970" y="3799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155099</xdr:colOff>
      <xdr:row>1</xdr:row>
      <xdr:rowOff>164958</xdr:rowOff>
    </xdr:from>
    <xdr:ext cx="529697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1">
              <a:extLst>
                <a:ext uri="{FF2B5EF4-FFF2-40B4-BE49-F238E27FC236}">
                  <a16:creationId xmlns:a16="http://schemas.microsoft.com/office/drawing/2014/main" id="{7CEC0757-B549-43F2-A338-74D09B319902}"/>
                </a:ext>
              </a:extLst>
            </xdr:cNvPr>
            <xdr:cNvSpPr txBox="1"/>
          </xdr:nvSpPr>
          <xdr:spPr>
            <a:xfrm>
              <a:off x="12798655" y="348402"/>
              <a:ext cx="529697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(−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_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𝑐𝑒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2" name="TextBox 1">
              <a:extLst>
                <a:ext uri="{FF2B5EF4-FFF2-40B4-BE49-F238E27FC236}">
                  <a16:creationId xmlns:a16="http://schemas.microsoft.com/office/drawing/2014/main" id="{7CEC0757-B549-43F2-A338-74D09B319902}"/>
                </a:ext>
              </a:extLst>
            </xdr:cNvPr>
            <xdr:cNvSpPr txBox="1"/>
          </xdr:nvSpPr>
          <xdr:spPr>
            <a:xfrm>
              <a:off x="12798655" y="348402"/>
              <a:ext cx="529697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𝑞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(−ℎ)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_𝑐𝑒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219075</xdr:colOff>
      <xdr:row>2</xdr:row>
      <xdr:rowOff>19050</xdr:rowOff>
    </xdr:from>
    <xdr:ext cx="65" cy="172227"/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F82E4AF9-CEBA-42DD-A6F9-8C14F2FD14BE}"/>
            </a:ext>
          </a:extLst>
        </xdr:cNvPr>
        <xdr:cNvSpPr txBox="1"/>
      </xdr:nvSpPr>
      <xdr:spPr>
        <a:xfrm>
          <a:off x="12072408" y="38593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302895</xdr:colOff>
      <xdr:row>1</xdr:row>
      <xdr:rowOff>179070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C919AE-0C10-43AC-928F-B13C30E664AF}"/>
            </a:ext>
          </a:extLst>
        </xdr:cNvPr>
        <xdr:cNvSpPr txBox="1"/>
      </xdr:nvSpPr>
      <xdr:spPr>
        <a:xfrm>
          <a:off x="3472815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302895</xdr:colOff>
      <xdr:row>1</xdr:row>
      <xdr:rowOff>179070</xdr:rowOff>
    </xdr:from>
    <xdr:ext cx="286104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1">
              <a:extLst>
                <a:ext uri="{FF2B5EF4-FFF2-40B4-BE49-F238E27FC236}">
                  <a16:creationId xmlns:a16="http://schemas.microsoft.com/office/drawing/2014/main" id="{93300CDF-9C43-4685-89F1-7316619D26BE}"/>
                </a:ext>
              </a:extLst>
            </xdr:cNvPr>
            <xdr:cNvSpPr txBox="1"/>
          </xdr:nvSpPr>
          <xdr:spPr>
            <a:xfrm>
              <a:off x="3472815" y="361950"/>
              <a:ext cx="286104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1">
              <a:extLst>
                <a:ext uri="{FF2B5EF4-FFF2-40B4-BE49-F238E27FC236}">
                  <a16:creationId xmlns:a16="http://schemas.microsoft.com/office/drawing/2014/main" id="{93300CDF-9C43-4685-89F1-7316619D26BE}"/>
                </a:ext>
              </a:extLst>
            </xdr:cNvPr>
            <xdr:cNvSpPr txBox="1"/>
          </xdr:nvSpPr>
          <xdr:spPr>
            <a:xfrm>
              <a:off x="3472815" y="361950"/>
              <a:ext cx="286104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𝐷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302895</xdr:colOff>
      <xdr:row>1</xdr:row>
      <xdr:rowOff>179070</xdr:rowOff>
    </xdr:from>
    <xdr:ext cx="65" cy="172227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5CF22FEB-781B-459E-A99A-05D70C32A78D}"/>
            </a:ext>
          </a:extLst>
        </xdr:cNvPr>
        <xdr:cNvSpPr txBox="1"/>
      </xdr:nvSpPr>
      <xdr:spPr>
        <a:xfrm>
          <a:off x="4265295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302895</xdr:colOff>
      <xdr:row>1</xdr:row>
      <xdr:rowOff>179070</xdr:rowOff>
    </xdr:from>
    <xdr:ext cx="220830" cy="1921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1">
              <a:extLst>
                <a:ext uri="{FF2B5EF4-FFF2-40B4-BE49-F238E27FC236}">
                  <a16:creationId xmlns:a16="http://schemas.microsoft.com/office/drawing/2014/main" id="{5DC4EB71-1D01-4768-ADAA-985D6EE6BE60}"/>
                </a:ext>
              </a:extLst>
            </xdr:cNvPr>
            <xdr:cNvSpPr txBox="1"/>
          </xdr:nvSpPr>
          <xdr:spPr>
            <a:xfrm>
              <a:off x="4265295" y="361950"/>
              <a:ext cx="220830" cy="192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/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1">
              <a:extLst>
                <a:ext uri="{FF2B5EF4-FFF2-40B4-BE49-F238E27FC236}">
                  <a16:creationId xmlns:a16="http://schemas.microsoft.com/office/drawing/2014/main" id="{5DC4EB71-1D01-4768-ADAA-985D6EE6BE60}"/>
                </a:ext>
              </a:extLst>
            </xdr:cNvPr>
            <xdr:cNvSpPr txBox="1"/>
          </xdr:nvSpPr>
          <xdr:spPr>
            <a:xfrm>
              <a:off x="4265295" y="361950"/>
              <a:ext cx="220830" cy="1921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𝑅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302895</xdr:colOff>
      <xdr:row>1</xdr:row>
      <xdr:rowOff>179070</xdr:rowOff>
    </xdr:from>
    <xdr:ext cx="169277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3A728E9A-51D5-4E65-960B-7A1CD7EBDFB3}"/>
                </a:ext>
              </a:extLst>
            </xdr:cNvPr>
            <xdr:cNvSpPr txBox="1"/>
          </xdr:nvSpPr>
          <xdr:spPr>
            <a:xfrm>
              <a:off x="11397615" y="36195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3A728E9A-51D5-4E65-960B-7A1CD7EBDFB3}"/>
                </a:ext>
              </a:extLst>
            </xdr:cNvPr>
            <xdr:cNvSpPr txBox="1"/>
          </xdr:nvSpPr>
          <xdr:spPr>
            <a:xfrm>
              <a:off x="11397615" y="36195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219075</xdr:colOff>
      <xdr:row>2</xdr:row>
      <xdr:rowOff>19050</xdr:rowOff>
    </xdr:from>
    <xdr:ext cx="65" cy="172227"/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B7089C43-6445-40DF-8D3B-5C6863C4A48B}"/>
            </a:ext>
          </a:extLst>
        </xdr:cNvPr>
        <xdr:cNvSpPr txBox="1"/>
      </xdr:nvSpPr>
      <xdr:spPr>
        <a:xfrm>
          <a:off x="1131379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219075</xdr:colOff>
      <xdr:row>2</xdr:row>
      <xdr:rowOff>19050</xdr:rowOff>
    </xdr:from>
    <xdr:ext cx="65" cy="172227"/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6F979842-3308-4300-B01A-A8731FB84DE3}"/>
            </a:ext>
          </a:extLst>
        </xdr:cNvPr>
        <xdr:cNvSpPr txBox="1"/>
      </xdr:nvSpPr>
      <xdr:spPr>
        <a:xfrm>
          <a:off x="1210627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168840</xdr:colOff>
      <xdr:row>1</xdr:row>
      <xdr:rowOff>172014</xdr:rowOff>
    </xdr:from>
    <xdr:ext cx="531171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1">
              <a:extLst>
                <a:ext uri="{FF2B5EF4-FFF2-40B4-BE49-F238E27FC236}">
                  <a16:creationId xmlns:a16="http://schemas.microsoft.com/office/drawing/2014/main" id="{B12CFA65-F946-4156-8BFB-F48BE5D3D5EF}"/>
                </a:ext>
              </a:extLst>
            </xdr:cNvPr>
            <xdr:cNvSpPr txBox="1"/>
          </xdr:nvSpPr>
          <xdr:spPr>
            <a:xfrm>
              <a:off x="12056040" y="354894"/>
              <a:ext cx="531171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(−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_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𝑐𝑒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1">
              <a:extLst>
                <a:ext uri="{FF2B5EF4-FFF2-40B4-BE49-F238E27FC236}">
                  <a16:creationId xmlns:a16="http://schemas.microsoft.com/office/drawing/2014/main" id="{B12CFA65-F946-4156-8BFB-F48BE5D3D5EF}"/>
                </a:ext>
              </a:extLst>
            </xdr:cNvPr>
            <xdr:cNvSpPr txBox="1"/>
          </xdr:nvSpPr>
          <xdr:spPr>
            <a:xfrm>
              <a:off x="12056040" y="354894"/>
              <a:ext cx="531171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(−ℎ)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_𝑐𝑒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219075</xdr:colOff>
      <xdr:row>2</xdr:row>
      <xdr:rowOff>19050</xdr:rowOff>
    </xdr:from>
    <xdr:ext cx="65" cy="172227"/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1D37E82F-1AB6-43CD-BB4D-17684029A5BE}"/>
            </a:ext>
          </a:extLst>
        </xdr:cNvPr>
        <xdr:cNvSpPr txBox="1"/>
      </xdr:nvSpPr>
      <xdr:spPr>
        <a:xfrm>
          <a:off x="1289875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21</xdr:col>
      <xdr:colOff>276158</xdr:colOff>
      <xdr:row>1</xdr:row>
      <xdr:rowOff>179070</xdr:rowOff>
    </xdr:from>
    <xdr:ext cx="337721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">
              <a:extLst>
                <a:ext uri="{FF2B5EF4-FFF2-40B4-BE49-F238E27FC236}">
                  <a16:creationId xmlns:a16="http://schemas.microsoft.com/office/drawing/2014/main" id="{96979EE7-3D86-4583-92BE-643CE8288815}"/>
                </a:ext>
              </a:extLst>
            </xdr:cNvPr>
            <xdr:cNvSpPr txBox="1"/>
          </xdr:nvSpPr>
          <xdr:spPr>
            <a:xfrm>
              <a:off x="17657378" y="361950"/>
              <a:ext cx="33772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𝑒</m:t>
                      </m:r>
                    </m:e>
                    <m:sub>
                      <m:r>
                        <a:rPr lang="en-US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</m:sub>
                    <m:sup>
                      <m:r>
                        <a:rPr lang="en-US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0</m:t>
                      </m:r>
                    </m:sup>
                  </m:sSubSup>
                </m:oMath>
              </a14:m>
              <a:r>
                <a:rPr lang="en-US" sz="1100">
                  <a:solidFill>
                    <a:schemeClr val="bg1"/>
                  </a:solidFill>
                </a:rPr>
                <a:t>_ce</a:t>
              </a:r>
            </a:p>
          </xdr:txBody>
        </xdr:sp>
      </mc:Choice>
      <mc:Fallback>
        <xdr:sp macro="" textlink="">
          <xdr:nvSpPr>
            <xdr:cNvPr id="11" name="TextBox 1">
              <a:extLst>
                <a:ext uri="{FF2B5EF4-FFF2-40B4-BE49-F238E27FC236}">
                  <a16:creationId xmlns:a16="http://schemas.microsoft.com/office/drawing/2014/main" id="{96979EE7-3D86-4583-92BE-643CE8288815}"/>
                </a:ext>
              </a:extLst>
            </xdr:cNvPr>
            <xdr:cNvSpPr txBox="1"/>
          </xdr:nvSpPr>
          <xdr:spPr>
            <a:xfrm>
              <a:off x="17657378" y="361950"/>
              <a:ext cx="33772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r>
                <a:rPr lang="en-US" sz="1100">
                  <a:solidFill>
                    <a:schemeClr val="bg1"/>
                  </a:solidFill>
                </a:rPr>
                <a:t>_ce</a:t>
              </a:r>
            </a:p>
          </xdr:txBody>
        </xdr:sp>
      </mc:Fallback>
    </mc:AlternateContent>
    <xdr:clientData/>
  </xdr:oneCellAnchor>
  <xdr:oneCellAnchor>
    <xdr:from>
      <xdr:col>21</xdr:col>
      <xdr:colOff>219075</xdr:colOff>
      <xdr:row>2</xdr:row>
      <xdr:rowOff>19050</xdr:rowOff>
    </xdr:from>
    <xdr:ext cx="65" cy="172227"/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D881D86F-0529-4645-A1C4-FE6A516E841E}"/>
            </a:ext>
          </a:extLst>
        </xdr:cNvPr>
        <xdr:cNvSpPr txBox="1"/>
      </xdr:nvSpPr>
      <xdr:spPr>
        <a:xfrm>
          <a:off x="1760029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155099</xdr:colOff>
      <xdr:row>1</xdr:row>
      <xdr:rowOff>164958</xdr:rowOff>
    </xdr:from>
    <xdr:ext cx="529697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">
              <a:extLst>
                <a:ext uri="{FF2B5EF4-FFF2-40B4-BE49-F238E27FC236}">
                  <a16:creationId xmlns:a16="http://schemas.microsoft.com/office/drawing/2014/main" id="{FCFE811F-91B5-46B0-8020-B0F131E3A11D}"/>
                </a:ext>
              </a:extLst>
            </xdr:cNvPr>
            <xdr:cNvSpPr txBox="1"/>
          </xdr:nvSpPr>
          <xdr:spPr>
            <a:xfrm>
              <a:off x="12834779" y="347838"/>
              <a:ext cx="529697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(−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_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𝑐𝑒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">
              <a:extLst>
                <a:ext uri="{FF2B5EF4-FFF2-40B4-BE49-F238E27FC236}">
                  <a16:creationId xmlns:a16="http://schemas.microsoft.com/office/drawing/2014/main" id="{FCFE811F-91B5-46B0-8020-B0F131E3A11D}"/>
                </a:ext>
              </a:extLst>
            </xdr:cNvPr>
            <xdr:cNvSpPr txBox="1"/>
          </xdr:nvSpPr>
          <xdr:spPr>
            <a:xfrm>
              <a:off x="12834779" y="347838"/>
              <a:ext cx="529697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𝑞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(−ℎ)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_𝑐𝑒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219075</xdr:colOff>
      <xdr:row>2</xdr:row>
      <xdr:rowOff>19050</xdr:rowOff>
    </xdr:from>
    <xdr:ext cx="65" cy="172227"/>
    <xdr:sp macro="" textlink="">
      <xdr:nvSpPr>
        <xdr:cNvPr id="14" name="TextBox 1">
          <a:extLst>
            <a:ext uri="{FF2B5EF4-FFF2-40B4-BE49-F238E27FC236}">
              <a16:creationId xmlns:a16="http://schemas.microsoft.com/office/drawing/2014/main" id="{ECCE1C91-B3D7-4F55-8886-474148AC124D}"/>
            </a:ext>
          </a:extLst>
        </xdr:cNvPr>
        <xdr:cNvSpPr txBox="1"/>
      </xdr:nvSpPr>
      <xdr:spPr>
        <a:xfrm>
          <a:off x="1289875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26B7-41CF-4B2F-B2DB-9CF2DD9C7E56}">
  <dimension ref="A1:V22"/>
  <sheetViews>
    <sheetView tabSelected="1" topLeftCell="A2" zoomScale="78" zoomScaleNormal="49" workbookViewId="0">
      <selection activeCell="F19" sqref="F19"/>
    </sheetView>
  </sheetViews>
  <sheetFormatPr baseColWidth="10" defaultRowHeight="14.4" x14ac:dyDescent="0.3"/>
  <cols>
    <col min="18" max="19" width="11.88671875" bestFit="1" customWidth="1"/>
    <col min="20" max="20" width="12.88671875" bestFit="1" customWidth="1"/>
    <col min="21" max="21" width="20.33203125" bestFit="1" customWidth="1"/>
    <col min="22" max="22" width="15" bestFit="1" customWidth="1"/>
  </cols>
  <sheetData>
    <row r="1" spans="1:22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2" spans="1:22" x14ac:dyDescent="0.3">
      <c r="A2" s="2"/>
      <c r="B2" s="2"/>
      <c r="C2" s="2"/>
      <c r="D2" s="2"/>
    </row>
    <row r="3" spans="1:22" ht="15.6" x14ac:dyDescent="0.3">
      <c r="A3" s="3" t="s">
        <v>0</v>
      </c>
      <c r="B3" s="3" t="s">
        <v>1</v>
      </c>
      <c r="C3" s="3" t="s">
        <v>2</v>
      </c>
      <c r="D3" s="3" t="s">
        <v>3</v>
      </c>
      <c r="E3" s="3"/>
      <c r="F3" s="3"/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/>
      <c r="P3" s="3"/>
      <c r="Q3" s="3"/>
      <c r="R3" s="3" t="s">
        <v>13</v>
      </c>
      <c r="S3" s="3" t="s">
        <v>14</v>
      </c>
      <c r="T3" s="3" t="s">
        <v>15</v>
      </c>
      <c r="U3" s="3" t="s">
        <v>16</v>
      </c>
      <c r="V3" s="3"/>
    </row>
    <row r="4" spans="1:22" x14ac:dyDescent="0.3">
      <c r="A4" s="4">
        <v>0</v>
      </c>
      <c r="B4" s="4">
        <v>1</v>
      </c>
      <c r="C4" s="5">
        <v>61523</v>
      </c>
      <c r="D4" s="5">
        <v>689</v>
      </c>
      <c r="E4" s="6">
        <v>0</v>
      </c>
      <c r="F4" s="6">
        <f>(D4-E4)/D4</f>
        <v>1</v>
      </c>
      <c r="G4" s="6">
        <v>1.1199063764770898E-2</v>
      </c>
      <c r="H4" s="6">
        <v>8.435737854135851E-2</v>
      </c>
      <c r="I4" s="6">
        <v>1.1085390401415185E-2</v>
      </c>
      <c r="J4" s="6">
        <v>0.98891460959858479</v>
      </c>
      <c r="K4" s="6">
        <v>100000</v>
      </c>
      <c r="L4" s="6">
        <v>1108.5390401415184</v>
      </c>
      <c r="M4" s="6">
        <v>98984.974407295565</v>
      </c>
      <c r="N4" s="6">
        <v>7786572.1082862234</v>
      </c>
      <c r="O4" s="14">
        <v>77.865721082862237</v>
      </c>
      <c r="P4" s="13">
        <f>1-Q4</f>
        <v>0.98891460959858479</v>
      </c>
      <c r="Q4" s="11">
        <f>1-(1-I4)^F4</f>
        <v>1.1085390401415207E-2</v>
      </c>
      <c r="R4" s="12">
        <f>K4*P4</f>
        <v>98891.460959858479</v>
      </c>
      <c r="S4" s="12">
        <f>R4*Q4</f>
        <v>1096.250452106342</v>
      </c>
      <c r="T4" s="12">
        <f t="shared" ref="T4:T20" si="0">B4*R4+H4*S4</f>
        <v>98983.937774222955</v>
      </c>
      <c r="U4" s="12">
        <f t="shared" ref="U4:U19" si="1">U5+T4</f>
        <v>8005897.397133532</v>
      </c>
      <c r="V4" s="15">
        <f>U4/R4</f>
        <v>80.956407352331922</v>
      </c>
    </row>
    <row r="5" spans="1:22" x14ac:dyDescent="0.3">
      <c r="A5" s="7">
        <v>1</v>
      </c>
      <c r="B5" s="7">
        <v>4</v>
      </c>
      <c r="C5" s="5">
        <v>60517</v>
      </c>
      <c r="D5" s="8">
        <v>72</v>
      </c>
      <c r="E5" s="6">
        <v>0</v>
      </c>
      <c r="F5" s="6">
        <f>(D5-E5)/D5</f>
        <v>1</v>
      </c>
      <c r="G5" s="6">
        <v>1.1897483351785449E-3</v>
      </c>
      <c r="H5" s="6">
        <v>1.5049998212050777</v>
      </c>
      <c r="I5" s="6">
        <v>4.7449084486211705E-3</v>
      </c>
      <c r="J5" s="6">
        <v>0.99525509155137881</v>
      </c>
      <c r="K5" s="6">
        <v>98891.460959858479</v>
      </c>
      <c r="L5" s="6">
        <v>469.23092860492312</v>
      </c>
      <c r="M5" s="6">
        <v>394395.11258866853</v>
      </c>
      <c r="N5" s="6">
        <v>7687587.1338789277</v>
      </c>
      <c r="O5" s="14">
        <v>77.737623241297186</v>
      </c>
      <c r="P5" s="13">
        <f t="shared" ref="P5:P22" si="2">1-Q5</f>
        <v>0.99525509155137881</v>
      </c>
      <c r="Q5" s="11">
        <f t="shared" ref="Q5:Q22" si="3">1-(1-I5)^F5</f>
        <v>4.7449084486211879E-3</v>
      </c>
      <c r="R5" s="12">
        <f>R4*P4</f>
        <v>97795.210507752141</v>
      </c>
      <c r="S5" s="12">
        <f t="shared" ref="S5:S22" si="4">R5*Q5</f>
        <v>464.02932057292071</v>
      </c>
      <c r="T5" s="12">
        <f t="shared" si="0"/>
        <v>391879.20607550471</v>
      </c>
      <c r="U5" s="12">
        <f t="shared" si="1"/>
        <v>7906913.4593593087</v>
      </c>
      <c r="V5" s="15">
        <f>U5/R5</f>
        <v>80.851745380031005</v>
      </c>
    </row>
    <row r="6" spans="1:22" x14ac:dyDescent="0.3">
      <c r="A6" s="7">
        <v>5</v>
      </c>
      <c r="B6" s="7">
        <v>5</v>
      </c>
      <c r="C6" s="9">
        <v>303890</v>
      </c>
      <c r="D6" s="8">
        <v>57</v>
      </c>
      <c r="E6" s="6">
        <v>0</v>
      </c>
      <c r="F6" s="6">
        <f t="shared" ref="F6:F22" si="5">(D6-E6)/D6</f>
        <v>1</v>
      </c>
      <c r="G6" s="6">
        <v>1.8756786995294351E-4</v>
      </c>
      <c r="H6" s="6">
        <v>2.5</v>
      </c>
      <c r="I6" s="6">
        <v>9.3739978456250568E-4</v>
      </c>
      <c r="J6" s="6">
        <v>0.99906260021543747</v>
      </c>
      <c r="K6" s="6">
        <v>98422.230031253552</v>
      </c>
      <c r="L6" s="6">
        <v>92.260977227458454</v>
      </c>
      <c r="M6" s="6">
        <v>491880.49771319906</v>
      </c>
      <c r="N6" s="6">
        <v>7293192.0212902594</v>
      </c>
      <c r="O6" s="14">
        <v>74.101064555988401</v>
      </c>
      <c r="P6" s="13">
        <f t="shared" si="2"/>
        <v>0.99906260021543747</v>
      </c>
      <c r="Q6" s="11">
        <f t="shared" si="3"/>
        <v>9.3739978456253148E-4</v>
      </c>
      <c r="R6" s="12">
        <f>R5*P5</f>
        <v>97331.181187179216</v>
      </c>
      <c r="S6" s="12">
        <f t="shared" si="4"/>
        <v>91.238228276078516</v>
      </c>
      <c r="T6" s="12">
        <f t="shared" si="0"/>
        <v>486884.00150658627</v>
      </c>
      <c r="U6" s="12">
        <f t="shared" si="1"/>
        <v>7515034.2532838043</v>
      </c>
      <c r="V6" s="15">
        <f t="shared" ref="V5:V22" si="6">U6/R6</f>
        <v>77.210963245493929</v>
      </c>
    </row>
    <row r="7" spans="1:22" x14ac:dyDescent="0.3">
      <c r="A7" s="7">
        <v>10</v>
      </c>
      <c r="B7" s="7">
        <v>5</v>
      </c>
      <c r="C7" s="9">
        <v>311088</v>
      </c>
      <c r="D7" s="8">
        <v>73</v>
      </c>
      <c r="E7" s="6">
        <v>3</v>
      </c>
      <c r="F7" s="6">
        <f t="shared" si="5"/>
        <v>0.95890410958904104</v>
      </c>
      <c r="G7" s="6">
        <v>2.3466028905004373E-4</v>
      </c>
      <c r="H7" s="6">
        <v>2.5</v>
      </c>
      <c r="I7" s="6">
        <v>1.1726135306750882E-3</v>
      </c>
      <c r="J7" s="6">
        <v>0.9988273864693249</v>
      </c>
      <c r="K7" s="6">
        <v>98329.969054026093</v>
      </c>
      <c r="L7" s="6">
        <v>115.3030521836137</v>
      </c>
      <c r="M7" s="6">
        <v>491361.5876396714</v>
      </c>
      <c r="N7" s="6">
        <v>6801311.5235770606</v>
      </c>
      <c r="O7" s="14">
        <v>69.168246354681258</v>
      </c>
      <c r="P7" s="13">
        <f t="shared" si="2"/>
        <v>0.99887554896267616</v>
      </c>
      <c r="Q7" s="11">
        <f t="shared" si="3"/>
        <v>1.124451037323837E-3</v>
      </c>
      <c r="R7" s="12">
        <f>R6*P6</f>
        <v>97239.942958903135</v>
      </c>
      <c r="S7" s="12">
        <f t="shared" si="4"/>
        <v>109.34155472944937</v>
      </c>
      <c r="T7" s="12">
        <f t="shared" si="0"/>
        <v>486473.06868133933</v>
      </c>
      <c r="U7" s="12">
        <f t="shared" si="1"/>
        <v>7028150.2517772177</v>
      </c>
      <c r="V7" s="15">
        <f t="shared" si="6"/>
        <v>72.276371601200438</v>
      </c>
    </row>
    <row r="8" spans="1:22" x14ac:dyDescent="0.3">
      <c r="A8" s="4">
        <v>15</v>
      </c>
      <c r="B8" s="7">
        <v>5</v>
      </c>
      <c r="C8" s="9">
        <v>314520</v>
      </c>
      <c r="D8" s="8">
        <v>145</v>
      </c>
      <c r="E8" s="6">
        <v>12</v>
      </c>
      <c r="F8" s="6">
        <f t="shared" si="5"/>
        <v>0.91724137931034477</v>
      </c>
      <c r="G8" s="6">
        <v>4.6101996693374028E-4</v>
      </c>
      <c r="H8" s="6">
        <v>2.5</v>
      </c>
      <c r="I8" s="6">
        <v>2.3024461505482203E-3</v>
      </c>
      <c r="J8" s="6">
        <v>0.9976975538494518</v>
      </c>
      <c r="K8" s="6">
        <v>98214.666001842474</v>
      </c>
      <c r="L8" s="6">
        <v>226.13397966332136</v>
      </c>
      <c r="M8" s="6">
        <v>490507.99506005406</v>
      </c>
      <c r="N8" s="6">
        <v>6309949.9359373888</v>
      </c>
      <c r="O8" s="14">
        <v>64.246514220381471</v>
      </c>
      <c r="P8" s="13">
        <f t="shared" si="2"/>
        <v>0.99788789974139813</v>
      </c>
      <c r="Q8" s="11">
        <f t="shared" si="3"/>
        <v>2.1121002586018678E-3</v>
      </c>
      <c r="R8" s="12">
        <f>R7*P7</f>
        <v>97130.601404173693</v>
      </c>
      <c r="S8" s="12">
        <f t="shared" si="4"/>
        <v>205.1495683439102</v>
      </c>
      <c r="T8" s="12">
        <f t="shared" si="0"/>
        <v>486165.88094172825</v>
      </c>
      <c r="U8" s="12">
        <f t="shared" si="1"/>
        <v>6541677.183095878</v>
      </c>
      <c r="V8" s="15">
        <f t="shared" si="6"/>
        <v>67.349291454245872</v>
      </c>
    </row>
    <row r="9" spans="1:22" x14ac:dyDescent="0.3">
      <c r="A9" s="4">
        <v>20</v>
      </c>
      <c r="B9" s="7">
        <v>5</v>
      </c>
      <c r="C9" s="9">
        <v>305706</v>
      </c>
      <c r="D9" s="8">
        <v>154</v>
      </c>
      <c r="E9" s="6">
        <v>13</v>
      </c>
      <c r="F9" s="6">
        <f t="shared" si="5"/>
        <v>0.91558441558441561</v>
      </c>
      <c r="G9" s="6">
        <v>5.0375197084780805E-4</v>
      </c>
      <c r="H9" s="6">
        <v>2.5</v>
      </c>
      <c r="I9" s="6">
        <v>2.5155917684610138E-3</v>
      </c>
      <c r="J9" s="6">
        <v>0.99748440823153894</v>
      </c>
      <c r="K9" s="6">
        <v>97988.532022179148</v>
      </c>
      <c r="L9" s="6">
        <v>246.49914455857231</v>
      </c>
      <c r="M9" s="6">
        <v>489326.41224949923</v>
      </c>
      <c r="N9" s="6">
        <v>5819441.9408773351</v>
      </c>
      <c r="O9" s="14">
        <v>59.389010333986199</v>
      </c>
      <c r="P9" s="13">
        <f t="shared" si="2"/>
        <v>0.99769651860607955</v>
      </c>
      <c r="Q9" s="11">
        <f t="shared" si="3"/>
        <v>2.3034813939204479E-3</v>
      </c>
      <c r="R9" s="12">
        <f t="shared" ref="R9:R22" si="7">R8*P8</f>
        <v>96925.451835829779</v>
      </c>
      <c r="S9" s="12">
        <f t="shared" si="4"/>
        <v>223.26597490116643</v>
      </c>
      <c r="T9" s="12">
        <f t="shared" si="0"/>
        <v>485185.42411640182</v>
      </c>
      <c r="U9" s="12">
        <f t="shared" si="1"/>
        <v>6055511.3021541499</v>
      </c>
      <c r="V9" s="15">
        <f t="shared" si="6"/>
        <v>62.475966709041948</v>
      </c>
    </row>
    <row r="10" spans="1:22" x14ac:dyDescent="0.3">
      <c r="A10" s="4">
        <v>25</v>
      </c>
      <c r="B10" s="7">
        <v>5</v>
      </c>
      <c r="C10" s="9">
        <v>291099</v>
      </c>
      <c r="D10" s="8">
        <v>195</v>
      </c>
      <c r="E10" s="6">
        <v>24</v>
      </c>
      <c r="F10" s="6">
        <f t="shared" si="5"/>
        <v>0.87692307692307692</v>
      </c>
      <c r="G10" s="6">
        <v>6.6987519709789454E-4</v>
      </c>
      <c r="H10" s="6">
        <v>2.5</v>
      </c>
      <c r="I10" s="6">
        <v>3.3437762036308267E-3</v>
      </c>
      <c r="J10" s="6">
        <v>0.9966562237963692</v>
      </c>
      <c r="K10" s="6">
        <v>97742.032877620572</v>
      </c>
      <c r="L10" s="6">
        <v>326.82748363068958</v>
      </c>
      <c r="M10" s="6">
        <v>487893.09567902621</v>
      </c>
      <c r="N10" s="6">
        <v>5330115.5286278361</v>
      </c>
      <c r="O10" s="14">
        <v>54.532480773154063</v>
      </c>
      <c r="P10" s="13">
        <f t="shared" si="2"/>
        <v>0.99706716135797735</v>
      </c>
      <c r="Q10" s="11">
        <f t="shared" si="3"/>
        <v>2.9328386420226504E-3</v>
      </c>
      <c r="R10" s="12">
        <f t="shared" si="7"/>
        <v>96702.185860928614</v>
      </c>
      <c r="S10" s="12">
        <f t="shared" si="4"/>
        <v>283.61190746098782</v>
      </c>
      <c r="T10" s="12">
        <f t="shared" si="0"/>
        <v>484219.95907329553</v>
      </c>
      <c r="U10" s="12">
        <f t="shared" si="1"/>
        <v>5570325.8780377479</v>
      </c>
      <c r="V10" s="15">
        <f t="shared" si="6"/>
        <v>57.60289520289296</v>
      </c>
    </row>
    <row r="11" spans="1:22" x14ac:dyDescent="0.3">
      <c r="A11" s="4">
        <v>30</v>
      </c>
      <c r="B11" s="7">
        <v>5</v>
      </c>
      <c r="C11" s="9">
        <v>262743</v>
      </c>
      <c r="D11" s="8">
        <v>207</v>
      </c>
      <c r="E11" s="6">
        <v>14</v>
      </c>
      <c r="F11" s="6">
        <f t="shared" si="5"/>
        <v>0.93236714975845414</v>
      </c>
      <c r="G11" s="6">
        <v>7.8784211187357992E-4</v>
      </c>
      <c r="H11" s="6">
        <v>2.5</v>
      </c>
      <c r="I11" s="6">
        <v>3.931467120969534E-3</v>
      </c>
      <c r="J11" s="6">
        <v>0.99606853287903041</v>
      </c>
      <c r="K11" s="6">
        <v>97415.205393989891</v>
      </c>
      <c r="L11" s="6">
        <v>382.98467708896527</v>
      </c>
      <c r="M11" s="6">
        <v>486118.56527722697</v>
      </c>
      <c r="N11" s="6">
        <v>4842222.43294881</v>
      </c>
      <c r="O11" s="14">
        <v>49.707049462809579</v>
      </c>
      <c r="P11" s="13">
        <f t="shared" si="2"/>
        <v>0.99633394119192331</v>
      </c>
      <c r="Q11" s="11">
        <f t="shared" si="3"/>
        <v>3.6660588080766887E-3</v>
      </c>
      <c r="R11" s="12">
        <f t="shared" si="7"/>
        <v>96418.573953467625</v>
      </c>
      <c r="S11" s="12">
        <f t="shared" si="4"/>
        <v>353.47616230430356</v>
      </c>
      <c r="T11" s="12">
        <f t="shared" si="0"/>
        <v>482976.56017309893</v>
      </c>
      <c r="U11" s="12">
        <f t="shared" si="1"/>
        <v>5086105.9189644521</v>
      </c>
      <c r="V11" s="15">
        <f t="shared" si="6"/>
        <v>52.750271139864061</v>
      </c>
    </row>
    <row r="12" spans="1:22" x14ac:dyDescent="0.3">
      <c r="A12" s="4">
        <v>35</v>
      </c>
      <c r="B12" s="7">
        <v>5</v>
      </c>
      <c r="C12" s="9">
        <v>238652</v>
      </c>
      <c r="D12" s="8">
        <v>288</v>
      </c>
      <c r="E12" s="6">
        <v>16</v>
      </c>
      <c r="F12" s="6">
        <f t="shared" si="5"/>
        <v>0.94444444444444442</v>
      </c>
      <c r="G12" s="6">
        <v>1.2067780701607361E-3</v>
      </c>
      <c r="H12" s="6">
        <v>2.5</v>
      </c>
      <c r="I12" s="6">
        <v>6.0157411894457159E-3</v>
      </c>
      <c r="J12" s="6">
        <v>0.9939842588105543</v>
      </c>
      <c r="K12" s="6">
        <v>97032.22071690092</v>
      </c>
      <c r="L12" s="6">
        <v>583.72072687004879</v>
      </c>
      <c r="M12" s="6">
        <v>483701.80176732951</v>
      </c>
      <c r="N12" s="6">
        <v>4356103.8676715828</v>
      </c>
      <c r="O12" s="14">
        <v>44.893374958209563</v>
      </c>
      <c r="P12" s="13">
        <f t="shared" si="2"/>
        <v>0.99431751523211143</v>
      </c>
      <c r="Q12" s="11">
        <f t="shared" si="3"/>
        <v>5.6824847678885737E-3</v>
      </c>
      <c r="R12" s="12">
        <f t="shared" si="7"/>
        <v>96065.097791163324</v>
      </c>
      <c r="S12" s="12">
        <f t="shared" si="4"/>
        <v>545.88845492401185</v>
      </c>
      <c r="T12" s="12">
        <f t="shared" si="0"/>
        <v>481690.21009312663</v>
      </c>
      <c r="U12" s="12">
        <f t="shared" si="1"/>
        <v>4603129.3587913532</v>
      </c>
      <c r="V12" s="15">
        <f t="shared" si="6"/>
        <v>47.916771695773761</v>
      </c>
    </row>
    <row r="13" spans="1:22" x14ac:dyDescent="0.3">
      <c r="A13" s="4">
        <v>40</v>
      </c>
      <c r="B13" s="7">
        <v>5</v>
      </c>
      <c r="C13" s="9">
        <v>221454</v>
      </c>
      <c r="D13" s="8">
        <v>437</v>
      </c>
      <c r="E13" s="6">
        <v>11</v>
      </c>
      <c r="F13" s="6">
        <f t="shared" si="5"/>
        <v>0.97482837528604116</v>
      </c>
      <c r="G13" s="6">
        <v>1.9733217733705418E-3</v>
      </c>
      <c r="H13" s="6">
        <v>2.5</v>
      </c>
      <c r="I13" s="6">
        <v>9.8181728312959297E-3</v>
      </c>
      <c r="J13" s="6">
        <v>0.99018182716870407</v>
      </c>
      <c r="K13" s="6">
        <v>96448.499990030876</v>
      </c>
      <c r="L13" s="6">
        <v>946.9480422213669</v>
      </c>
      <c r="M13" s="6">
        <v>479875.12984460098</v>
      </c>
      <c r="N13" s="6">
        <v>3872402.0659042536</v>
      </c>
      <c r="O13" s="14">
        <v>40.149945995059682</v>
      </c>
      <c r="P13" s="13">
        <f t="shared" si="2"/>
        <v>0.990427779853149</v>
      </c>
      <c r="Q13" s="11">
        <f t="shared" si="3"/>
        <v>9.572220146850996E-3</v>
      </c>
      <c r="R13" s="12">
        <f t="shared" si="7"/>
        <v>95519.209336239306</v>
      </c>
      <c r="S13" s="12">
        <f t="shared" si="4"/>
        <v>914.33090001962762</v>
      </c>
      <c r="T13" s="12">
        <f t="shared" si="0"/>
        <v>479881.87393124559</v>
      </c>
      <c r="U13" s="12">
        <f t="shared" si="1"/>
        <v>4121439.1486982265</v>
      </c>
      <c r="V13" s="15">
        <f t="shared" si="6"/>
        <v>43.147751926947556</v>
      </c>
    </row>
    <row r="14" spans="1:22" x14ac:dyDescent="0.3">
      <c r="A14" s="4">
        <v>45</v>
      </c>
      <c r="B14" s="7">
        <v>5</v>
      </c>
      <c r="C14" s="9">
        <v>200458</v>
      </c>
      <c r="D14" s="10">
        <v>584</v>
      </c>
      <c r="E14" s="6">
        <v>5</v>
      </c>
      <c r="F14" s="6">
        <f t="shared" si="5"/>
        <v>0.99143835616438358</v>
      </c>
      <c r="G14" s="6">
        <v>2.9133284777858705E-3</v>
      </c>
      <c r="H14" s="6">
        <v>2.5</v>
      </c>
      <c r="I14" s="6">
        <v>1.4461315979754157E-2</v>
      </c>
      <c r="J14" s="6">
        <v>0.9855386840202458</v>
      </c>
      <c r="K14" s="6">
        <v>95501.551947809508</v>
      </c>
      <c r="L14" s="6">
        <v>1381.0781192741795</v>
      </c>
      <c r="M14" s="6">
        <v>474055.06444086204</v>
      </c>
      <c r="N14" s="6">
        <v>3392526.9360596528</v>
      </c>
      <c r="O14" s="14">
        <v>35.523264982265729</v>
      </c>
      <c r="P14" s="13">
        <f t="shared" si="2"/>
        <v>0.98566160472823516</v>
      </c>
      <c r="Q14" s="11">
        <f t="shared" si="3"/>
        <v>1.4338395271764837E-2</v>
      </c>
      <c r="R14" s="12">
        <f t="shared" si="7"/>
        <v>94604.878436219675</v>
      </c>
      <c r="S14" s="12">
        <f t="shared" si="4"/>
        <v>1356.4821416557793</v>
      </c>
      <c r="T14" s="12">
        <f t="shared" si="0"/>
        <v>476415.59753523779</v>
      </c>
      <c r="U14" s="12">
        <f t="shared" si="1"/>
        <v>3641557.2747669811</v>
      </c>
      <c r="V14" s="15">
        <f t="shared" si="6"/>
        <v>38.49227793492733</v>
      </c>
    </row>
    <row r="15" spans="1:22" x14ac:dyDescent="0.3">
      <c r="A15" s="4">
        <v>50</v>
      </c>
      <c r="B15" s="7">
        <v>5</v>
      </c>
      <c r="C15" s="9">
        <v>169598</v>
      </c>
      <c r="D15" s="10">
        <v>780</v>
      </c>
      <c r="E15" s="6">
        <v>7</v>
      </c>
      <c r="F15" s="6">
        <f t="shared" si="5"/>
        <v>0.99102564102564106</v>
      </c>
      <c r="G15" s="6">
        <v>4.5991108385712099E-3</v>
      </c>
      <c r="H15" s="6">
        <v>2.5</v>
      </c>
      <c r="I15" s="6">
        <v>2.2734161867232497E-2</v>
      </c>
      <c r="J15" s="6">
        <v>0.97726583813276746</v>
      </c>
      <c r="K15" s="6">
        <v>94120.473828535323</v>
      </c>
      <c r="L15" s="6">
        <v>2139.750087038542</v>
      </c>
      <c r="M15" s="6">
        <v>465252.99392508029</v>
      </c>
      <c r="N15" s="6">
        <v>2918471.871618791</v>
      </c>
      <c r="O15" s="14">
        <v>31.007832333436177</v>
      </c>
      <c r="P15" s="13">
        <f t="shared" si="2"/>
        <v>0.97746754653523849</v>
      </c>
      <c r="Q15" s="11">
        <f t="shared" si="3"/>
        <v>2.2532453464761515E-2</v>
      </c>
      <c r="R15" s="12">
        <f t="shared" si="7"/>
        <v>93248.396294563892</v>
      </c>
      <c r="S15" s="12">
        <f t="shared" si="4"/>
        <v>2101.115150170901</v>
      </c>
      <c r="T15" s="12">
        <f t="shared" si="0"/>
        <v>471494.76934824669</v>
      </c>
      <c r="U15" s="12">
        <f t="shared" si="1"/>
        <v>3165141.6772317435</v>
      </c>
      <c r="V15" s="15">
        <f t="shared" si="6"/>
        <v>33.943121844512213</v>
      </c>
    </row>
    <row r="16" spans="1:22" x14ac:dyDescent="0.3">
      <c r="A16" s="4">
        <v>55</v>
      </c>
      <c r="B16" s="7">
        <v>5</v>
      </c>
      <c r="C16" s="9">
        <v>141335</v>
      </c>
      <c r="D16" s="10">
        <v>1070</v>
      </c>
      <c r="E16" s="6">
        <v>3</v>
      </c>
      <c r="F16" s="6">
        <f t="shared" si="5"/>
        <v>0.99719626168224296</v>
      </c>
      <c r="G16" s="6">
        <v>7.5706654402660344E-3</v>
      </c>
      <c r="H16" s="6">
        <v>2.5</v>
      </c>
      <c r="I16" s="6">
        <v>3.7150197902923413E-2</v>
      </c>
      <c r="J16" s="6">
        <v>0.9628498020970766</v>
      </c>
      <c r="K16" s="6">
        <v>91980.723741496782</v>
      </c>
      <c r="L16" s="6">
        <v>3417.1020902507316</v>
      </c>
      <c r="M16" s="6">
        <v>451360.86348185706</v>
      </c>
      <c r="N16" s="6">
        <v>2453218.8776937108</v>
      </c>
      <c r="O16" s="14">
        <v>26.67101081513832</v>
      </c>
      <c r="P16" s="13">
        <f t="shared" si="2"/>
        <v>0.96295200776853984</v>
      </c>
      <c r="Q16" s="11">
        <f t="shared" si="3"/>
        <v>3.7047992231460158E-2</v>
      </c>
      <c r="R16" s="12">
        <f t="shared" si="7"/>
        <v>91147.281144392997</v>
      </c>
      <c r="S16" s="12">
        <f t="shared" si="4"/>
        <v>3376.8237637561865</v>
      </c>
      <c r="T16" s="12">
        <f t="shared" si="0"/>
        <v>464178.46513135545</v>
      </c>
      <c r="U16" s="12">
        <f t="shared" si="1"/>
        <v>2693646.907883497</v>
      </c>
      <c r="V16" s="15">
        <f t="shared" si="6"/>
        <v>29.552685215221025</v>
      </c>
    </row>
    <row r="17" spans="1:22" x14ac:dyDescent="0.3">
      <c r="A17" s="4">
        <v>60</v>
      </c>
      <c r="B17" s="7">
        <v>5</v>
      </c>
      <c r="C17" s="9">
        <v>112369</v>
      </c>
      <c r="D17" s="10">
        <v>1286</v>
      </c>
      <c r="E17" s="6">
        <v>2</v>
      </c>
      <c r="F17" s="6">
        <f t="shared" si="5"/>
        <v>0.99844479004665632</v>
      </c>
      <c r="G17" s="6">
        <v>1.1444437522804333E-2</v>
      </c>
      <c r="H17" s="6">
        <v>2.5</v>
      </c>
      <c r="I17" s="6">
        <v>5.5630537098560355E-2</v>
      </c>
      <c r="J17" s="6">
        <v>0.94436946290143964</v>
      </c>
      <c r="K17" s="6">
        <v>88563.621651246052</v>
      </c>
      <c r="L17" s="6">
        <v>4926.8418398525064</v>
      </c>
      <c r="M17" s="6">
        <v>430501.00365659897</v>
      </c>
      <c r="N17" s="6">
        <v>2001858.014211854</v>
      </c>
      <c r="O17" s="14">
        <v>22.603615083571832</v>
      </c>
      <c r="P17" s="13">
        <f t="shared" si="2"/>
        <v>0.94445353140075139</v>
      </c>
      <c r="Q17" s="11">
        <f t="shared" si="3"/>
        <v>5.5546468599248611E-2</v>
      </c>
      <c r="R17" s="12">
        <f t="shared" si="7"/>
        <v>87770.457380636813</v>
      </c>
      <c r="S17" s="12">
        <f t="shared" si="4"/>
        <v>4875.3389548352316</v>
      </c>
      <c r="T17" s="12">
        <f t="shared" si="0"/>
        <v>451040.63429027214</v>
      </c>
      <c r="U17" s="12">
        <f t="shared" si="1"/>
        <v>2229468.4427521415</v>
      </c>
      <c r="V17" s="15">
        <f t="shared" si="6"/>
        <v>25.401125951566343</v>
      </c>
    </row>
    <row r="18" spans="1:22" x14ac:dyDescent="0.3">
      <c r="A18" s="4">
        <v>65</v>
      </c>
      <c r="B18" s="7">
        <v>5</v>
      </c>
      <c r="C18" s="9">
        <v>85111</v>
      </c>
      <c r="D18" s="10">
        <v>1489</v>
      </c>
      <c r="E18" s="6">
        <v>6</v>
      </c>
      <c r="F18" s="6">
        <f t="shared" si="5"/>
        <v>0.99597044996642037</v>
      </c>
      <c r="G18" s="6">
        <v>1.7494800907050793E-2</v>
      </c>
      <c r="H18" s="6">
        <v>2.5</v>
      </c>
      <c r="I18" s="6">
        <v>8.3808473154834626E-2</v>
      </c>
      <c r="J18" s="6">
        <v>0.91619152684516536</v>
      </c>
      <c r="K18" s="6">
        <v>83636.779811393542</v>
      </c>
      <c r="L18" s="6">
        <v>7009.4708155799899</v>
      </c>
      <c r="M18" s="6">
        <v>400660.22201801772</v>
      </c>
      <c r="N18" s="6">
        <v>1571357.010555255</v>
      </c>
      <c r="O18" s="14">
        <v>18.787870768085149</v>
      </c>
      <c r="P18" s="13">
        <f t="shared" si="2"/>
        <v>0.91651472999006456</v>
      </c>
      <c r="Q18" s="11">
        <f t="shared" si="3"/>
        <v>8.3485270009935442E-2</v>
      </c>
      <c r="R18" s="12">
        <f t="shared" si="7"/>
        <v>82895.118425801586</v>
      </c>
      <c r="S18" s="12">
        <f t="shared" si="4"/>
        <v>6920.5213442836202</v>
      </c>
      <c r="T18" s="12">
        <f t="shared" si="0"/>
        <v>431776.89548971696</v>
      </c>
      <c r="U18" s="12">
        <f t="shared" si="1"/>
        <v>1778427.8084618691</v>
      </c>
      <c r="V18" s="15">
        <f t="shared" si="6"/>
        <v>21.453950995361907</v>
      </c>
    </row>
    <row r="19" spans="1:22" x14ac:dyDescent="0.3">
      <c r="A19" s="4">
        <v>70</v>
      </c>
      <c r="B19" s="7">
        <v>5</v>
      </c>
      <c r="C19" s="9">
        <v>66369</v>
      </c>
      <c r="D19" s="10">
        <v>1696</v>
      </c>
      <c r="E19" s="6">
        <v>0</v>
      </c>
      <c r="F19" s="6">
        <f t="shared" si="5"/>
        <v>1</v>
      </c>
      <c r="G19" s="6">
        <v>2.5554099052268377E-2</v>
      </c>
      <c r="H19" s="6">
        <v>2.5</v>
      </c>
      <c r="I19" s="6">
        <v>0.12009800450367514</v>
      </c>
      <c r="J19" s="6">
        <v>0.87990199549632486</v>
      </c>
      <c r="K19" s="6">
        <v>76627.308995813553</v>
      </c>
      <c r="L19" s="6">
        <v>9202.7869008837224</v>
      </c>
      <c r="M19" s="6">
        <v>360129.57772685844</v>
      </c>
      <c r="N19" s="6">
        <v>1170696.7885372373</v>
      </c>
      <c r="O19" s="14">
        <v>15.277801137466501</v>
      </c>
      <c r="P19" s="13">
        <f t="shared" si="2"/>
        <v>0.87990199549632486</v>
      </c>
      <c r="Q19" s="11">
        <f t="shared" si="3"/>
        <v>0.12009800450367514</v>
      </c>
      <c r="R19" s="12">
        <f t="shared" si="7"/>
        <v>75974.597081517961</v>
      </c>
      <c r="S19" s="12">
        <f t="shared" si="4"/>
        <v>9124.3975024610481</v>
      </c>
      <c r="T19" s="12">
        <f t="shared" si="0"/>
        <v>402683.97916374245</v>
      </c>
      <c r="U19" s="12">
        <f t="shared" si="1"/>
        <v>1346650.9129721522</v>
      </c>
      <c r="V19" s="15">
        <f t="shared" si="6"/>
        <v>17.725015527588059</v>
      </c>
    </row>
    <row r="20" spans="1:22" x14ac:dyDescent="0.3">
      <c r="A20" s="4">
        <v>75</v>
      </c>
      <c r="B20" s="7">
        <v>5</v>
      </c>
      <c r="C20" s="9">
        <v>48885</v>
      </c>
      <c r="D20" s="10">
        <v>1837</v>
      </c>
      <c r="E20" s="6">
        <v>0</v>
      </c>
      <c r="F20" s="6">
        <f t="shared" si="5"/>
        <v>1</v>
      </c>
      <c r="G20" s="6">
        <v>3.7577989158228499E-2</v>
      </c>
      <c r="H20" s="6">
        <v>2.5</v>
      </c>
      <c r="I20" s="6">
        <v>0.17175447618157169</v>
      </c>
      <c r="J20" s="6">
        <v>0.82824552381842831</v>
      </c>
      <c r="K20" s="6">
        <v>67424.522094929824</v>
      </c>
      <c r="L20" s="6">
        <v>11580.46347420748</v>
      </c>
      <c r="M20" s="6">
        <v>308171.45178913046</v>
      </c>
      <c r="N20" s="6">
        <v>810567.21081037889</v>
      </c>
      <c r="O20" s="14">
        <v>12.021845845182961</v>
      </c>
      <c r="P20" s="13">
        <f t="shared" si="2"/>
        <v>0.82824552381842831</v>
      </c>
      <c r="Q20" s="11">
        <f t="shared" si="3"/>
        <v>0.17175447618157169</v>
      </c>
      <c r="R20" s="12">
        <f t="shared" si="7"/>
        <v>66850.19957905692</v>
      </c>
      <c r="S20" s="12">
        <f t="shared" si="4"/>
        <v>11481.821011334445</v>
      </c>
      <c r="T20" s="12">
        <f t="shared" si="0"/>
        <v>362955.55042362073</v>
      </c>
      <c r="U20" s="12">
        <f>U21+T20</f>
        <v>943966.93380840984</v>
      </c>
      <c r="V20" s="15">
        <f t="shared" si="6"/>
        <v>14.120630001890666</v>
      </c>
    </row>
    <row r="21" spans="1:22" x14ac:dyDescent="0.3">
      <c r="A21" s="4">
        <v>80</v>
      </c>
      <c r="B21" s="7">
        <v>5</v>
      </c>
      <c r="C21" s="9">
        <v>32500</v>
      </c>
      <c r="D21" s="10">
        <v>2289</v>
      </c>
      <c r="E21" s="6">
        <v>0</v>
      </c>
      <c r="F21" s="6">
        <f t="shared" si="5"/>
        <v>1</v>
      </c>
      <c r="G21" s="6">
        <v>7.0430769230769227E-2</v>
      </c>
      <c r="H21" s="6">
        <v>2.5</v>
      </c>
      <c r="I21" s="6">
        <v>0.29943096343776571</v>
      </c>
      <c r="J21" s="6">
        <v>0.70056903656223435</v>
      </c>
      <c r="K21" s="6">
        <v>55844.058620722346</v>
      </c>
      <c r="L21" s="6">
        <v>16721.440275077959</v>
      </c>
      <c r="M21" s="6">
        <v>237416.69241591683</v>
      </c>
      <c r="N21" s="6">
        <v>502395.75902124844</v>
      </c>
      <c r="O21" s="14">
        <v>8.9964048357119548</v>
      </c>
      <c r="P21" s="13">
        <f t="shared" si="2"/>
        <v>0.70056903656223435</v>
      </c>
      <c r="Q21" s="11">
        <f t="shared" si="3"/>
        <v>0.29943096343776565</v>
      </c>
      <c r="R21" s="12">
        <f t="shared" si="7"/>
        <v>55368.378567722473</v>
      </c>
      <c r="S21" s="12">
        <f t="shared" si="4"/>
        <v>16579.006938520077</v>
      </c>
      <c r="T21" s="12">
        <f>B21*R21+H21*S21</f>
        <v>318289.41018491256</v>
      </c>
      <c r="U21" s="12">
        <f>U22+T21</f>
        <v>581011.38338478911</v>
      </c>
      <c r="V21" s="15">
        <f t="shared" si="6"/>
        <v>10.493559652900785</v>
      </c>
    </row>
    <row r="22" spans="1:22" x14ac:dyDescent="0.3">
      <c r="A22" s="4" t="s">
        <v>12</v>
      </c>
      <c r="B22" s="7">
        <v>5</v>
      </c>
      <c r="C22" s="9">
        <v>30499</v>
      </c>
      <c r="D22" s="10">
        <v>4503</v>
      </c>
      <c r="E22" s="6">
        <v>3</v>
      </c>
      <c r="F22" s="6">
        <f t="shared" si="5"/>
        <v>0.99933377748167884</v>
      </c>
      <c r="G22" s="6">
        <v>0.14764418505524771</v>
      </c>
      <c r="H22" s="6">
        <v>2.5</v>
      </c>
      <c r="I22" s="6">
        <v>1</v>
      </c>
      <c r="J22" s="6">
        <v>0</v>
      </c>
      <c r="K22" s="6">
        <v>39122.618345644391</v>
      </c>
      <c r="L22" s="6">
        <v>39122.618345644391</v>
      </c>
      <c r="M22" s="6">
        <v>264979.06660533161</v>
      </c>
      <c r="N22" s="6">
        <v>264979.06660533161</v>
      </c>
      <c r="O22" s="14">
        <v>6.7730401954252715</v>
      </c>
      <c r="P22" s="13">
        <f t="shared" si="2"/>
        <v>0</v>
      </c>
      <c r="Q22" s="11">
        <f t="shared" si="3"/>
        <v>1</v>
      </c>
      <c r="R22" s="12">
        <f t="shared" si="7"/>
        <v>38789.371629202396</v>
      </c>
      <c r="S22" s="12">
        <f t="shared" si="4"/>
        <v>38789.371629202396</v>
      </c>
      <c r="T22" s="12">
        <f>R22/G22</f>
        <v>262721.97319987649</v>
      </c>
      <c r="U22" s="12">
        <f>R22/G22</f>
        <v>262721.97319987649</v>
      </c>
      <c r="V22" s="15">
        <f t="shared" si="6"/>
        <v>6.7730401954252715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7A7E-E278-469F-8C72-BD976D839408}">
  <dimension ref="A1:V22"/>
  <sheetViews>
    <sheetView zoomScale="68" workbookViewId="0">
      <selection activeCell="E42" sqref="E42"/>
    </sheetView>
  </sheetViews>
  <sheetFormatPr baseColWidth="10" defaultRowHeight="14.4" x14ac:dyDescent="0.3"/>
  <sheetData>
    <row r="1" spans="1:22" x14ac:dyDescent="0.3">
      <c r="A1" s="1" t="s">
        <v>18</v>
      </c>
      <c r="B1" s="1"/>
      <c r="C1" s="1"/>
      <c r="D1" s="1"/>
      <c r="E1" s="1"/>
      <c r="F1" s="1"/>
      <c r="G1" s="1"/>
    </row>
    <row r="2" spans="1:22" x14ac:dyDescent="0.3">
      <c r="A2" s="2"/>
      <c r="B2" s="2"/>
      <c r="C2" s="2"/>
      <c r="D2" s="2"/>
    </row>
    <row r="3" spans="1:22" ht="15.6" x14ac:dyDescent="0.3">
      <c r="A3" s="3" t="s">
        <v>0</v>
      </c>
      <c r="B3" s="3" t="s">
        <v>1</v>
      </c>
      <c r="C3" s="3" t="s">
        <v>2</v>
      </c>
      <c r="D3" s="3" t="s">
        <v>3</v>
      </c>
      <c r="E3" s="3"/>
      <c r="F3" s="3"/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/>
      <c r="P3" s="3"/>
      <c r="Q3" s="3"/>
      <c r="R3" s="3" t="s">
        <v>13</v>
      </c>
      <c r="S3" s="3" t="s">
        <v>14</v>
      </c>
      <c r="T3" s="3" t="s">
        <v>15</v>
      </c>
      <c r="U3" s="3" t="s">
        <v>16</v>
      </c>
      <c r="V3" s="3"/>
    </row>
    <row r="4" spans="1:22" x14ac:dyDescent="0.3">
      <c r="A4" s="4">
        <v>0</v>
      </c>
      <c r="B4" s="4">
        <v>1</v>
      </c>
      <c r="C4" s="5">
        <v>63812</v>
      </c>
      <c r="D4" s="5">
        <v>937</v>
      </c>
      <c r="E4" s="6">
        <v>0</v>
      </c>
      <c r="F4" s="6">
        <f>(D4-E4)/D4</f>
        <v>1</v>
      </c>
      <c r="G4" s="6">
        <v>1.4683758540713346E-2</v>
      </c>
      <c r="H4" s="6">
        <v>9.4114523913997356E-2</v>
      </c>
      <c r="I4" s="6">
        <v>1.4491002077168033E-2</v>
      </c>
      <c r="J4" s="6">
        <v>0.98550899792283198</v>
      </c>
      <c r="K4" s="6">
        <v>100000</v>
      </c>
      <c r="L4" s="6">
        <v>1449.1002077168034</v>
      </c>
      <c r="M4" s="6">
        <v>98687.281168436137</v>
      </c>
      <c r="N4" s="6">
        <v>7243251.0554178832</v>
      </c>
      <c r="O4" s="14">
        <v>72.432510554178833</v>
      </c>
      <c r="P4" s="13">
        <f>1-Q4</f>
        <v>0.98550899792283198</v>
      </c>
      <c r="Q4" s="11">
        <f>1-(1-I4)^F4</f>
        <v>1.4491002077168025E-2</v>
      </c>
      <c r="R4" s="12">
        <f>K4*P4</f>
        <v>98550.899792283191</v>
      </c>
      <c r="S4" s="12">
        <f>R4*Q4</f>
        <v>1428.1012935967535</v>
      </c>
      <c r="T4" s="12">
        <f t="shared" ref="T4:T20" si="0">B4*R4+H4*S4</f>
        <v>98685.304865631013</v>
      </c>
      <c r="U4" s="12">
        <f t="shared" ref="U4:U19" si="1">U5+T4</f>
        <v>7571334.9234434944</v>
      </c>
      <c r="V4" s="15">
        <f>U4/R4</f>
        <v>76.826644296517628</v>
      </c>
    </row>
    <row r="5" spans="1:22" x14ac:dyDescent="0.3">
      <c r="A5" s="7">
        <v>1</v>
      </c>
      <c r="B5" s="7">
        <v>4</v>
      </c>
      <c r="C5" s="5">
        <v>62704</v>
      </c>
      <c r="D5" s="8">
        <v>75</v>
      </c>
      <c r="E5" s="6">
        <v>0</v>
      </c>
      <c r="F5" s="6">
        <f>(D5-E5)/D5</f>
        <v>1</v>
      </c>
      <c r="G5" s="6">
        <v>1.1960959428425619E-3</v>
      </c>
      <c r="H5" s="6">
        <v>1.4997100545351971</v>
      </c>
      <c r="I5" s="6">
        <v>4.7701183191597761E-3</v>
      </c>
      <c r="J5" s="6">
        <v>0.99522988168084026</v>
      </c>
      <c r="K5" s="6">
        <v>98550.899792283191</v>
      </c>
      <c r="L5" s="6">
        <v>470.09945246884945</v>
      </c>
      <c r="M5" s="6">
        <v>393028.21423475642</v>
      </c>
      <c r="N5" s="6">
        <v>7144563.7742494475</v>
      </c>
      <c r="O5" s="14">
        <v>72.496180038012056</v>
      </c>
      <c r="P5" s="13">
        <f t="shared" ref="P5:P22" si="2">1-Q5</f>
        <v>0.99522988168084026</v>
      </c>
      <c r="Q5" s="11">
        <f t="shared" ref="Q5:Q22" si="3">1-(1-I5)^F5</f>
        <v>4.770118319159744E-3</v>
      </c>
      <c r="R5" s="12">
        <f>R4*P4</f>
        <v>97122.798498686432</v>
      </c>
      <c r="S5" s="12">
        <f t="shared" ref="S5:S22" si="4">R5*Q5</f>
        <v>463.28724032664462</v>
      </c>
      <c r="T5" s="12">
        <f t="shared" si="0"/>
        <v>389185.99052720144</v>
      </c>
      <c r="U5" s="12">
        <f t="shared" si="1"/>
        <v>7472649.6185778631</v>
      </c>
      <c r="V5" s="15">
        <f>U5/R5</f>
        <v>76.940221390747197</v>
      </c>
    </row>
    <row r="6" spans="1:22" x14ac:dyDescent="0.3">
      <c r="A6" s="7">
        <v>5</v>
      </c>
      <c r="B6" s="7">
        <v>5</v>
      </c>
      <c r="C6" s="9">
        <v>313806</v>
      </c>
      <c r="D6" s="8">
        <v>86</v>
      </c>
      <c r="E6" s="6">
        <v>3</v>
      </c>
      <c r="F6" s="6">
        <f t="shared" ref="F6:F22" si="5">(D6-E6)/D6</f>
        <v>0.96511627906976749</v>
      </c>
      <c r="G6" s="6">
        <v>2.7405467072012644E-4</v>
      </c>
      <c r="H6" s="6">
        <v>2.5</v>
      </c>
      <c r="I6" s="6">
        <v>1.369335171851564E-3</v>
      </c>
      <c r="J6" s="6">
        <v>0.99863066482814844</v>
      </c>
      <c r="K6" s="6">
        <v>98080.800339814348</v>
      </c>
      <c r="L6" s="6">
        <v>134.30548958865862</v>
      </c>
      <c r="M6" s="6">
        <v>490068.23797510011</v>
      </c>
      <c r="N6" s="6">
        <v>6751535.5600146912</v>
      </c>
      <c r="O6" s="14">
        <v>68.836464798646347</v>
      </c>
      <c r="P6" s="13">
        <f t="shared" si="2"/>
        <v>0.9986784007552274</v>
      </c>
      <c r="Q6" s="11">
        <f t="shared" si="3"/>
        <v>1.3215992447725977E-3</v>
      </c>
      <c r="R6" s="12">
        <f>R5*P5</f>
        <v>96659.511258359795</v>
      </c>
      <c r="S6" s="12">
        <f t="shared" si="4"/>
        <v>127.74513707913671</v>
      </c>
      <c r="T6" s="12">
        <f t="shared" si="0"/>
        <v>483616.91913449677</v>
      </c>
      <c r="U6" s="12">
        <f t="shared" si="1"/>
        <v>7083463.6280506616</v>
      </c>
      <c r="V6" s="15">
        <f t="shared" ref="V6:V22" si="6">U6/R6</f>
        <v>73.282634433329335</v>
      </c>
    </row>
    <row r="7" spans="1:22" x14ac:dyDescent="0.3">
      <c r="A7" s="7">
        <v>10</v>
      </c>
      <c r="B7" s="7">
        <v>5</v>
      </c>
      <c r="C7" s="9">
        <v>318723</v>
      </c>
      <c r="D7" s="8">
        <v>104</v>
      </c>
      <c r="E7" s="6">
        <v>5</v>
      </c>
      <c r="F7" s="6">
        <f t="shared" si="5"/>
        <v>0.95192307692307687</v>
      </c>
      <c r="G7" s="6">
        <v>3.2630214951540992E-4</v>
      </c>
      <c r="H7" s="6">
        <v>2.5</v>
      </c>
      <c r="I7" s="6">
        <v>1.6301809187323464E-3</v>
      </c>
      <c r="J7" s="6">
        <v>0.99836981908126765</v>
      </c>
      <c r="K7" s="6">
        <v>97946.494850225688</v>
      </c>
      <c r="L7" s="6">
        <v>159.67050696155394</v>
      </c>
      <c r="M7" s="6">
        <v>489333.29798372451</v>
      </c>
      <c r="N7" s="6">
        <v>6261467.3220395911</v>
      </c>
      <c r="O7" s="14">
        <v>63.927426209730911</v>
      </c>
      <c r="P7" s="13">
        <f t="shared" si="2"/>
        <v>0.9984481323185187</v>
      </c>
      <c r="Q7" s="11">
        <f t="shared" si="3"/>
        <v>1.5518676814813004E-3</v>
      </c>
      <c r="R7" s="12">
        <f>R6*P6</f>
        <v>96531.766121280656</v>
      </c>
      <c r="S7" s="12">
        <f t="shared" si="4"/>
        <v>149.80452807992694</v>
      </c>
      <c r="T7" s="12">
        <f t="shared" si="0"/>
        <v>483033.34192660311</v>
      </c>
      <c r="U7" s="12">
        <f t="shared" si="1"/>
        <v>6599846.7089161649</v>
      </c>
      <c r="V7" s="15">
        <f t="shared" si="6"/>
        <v>68.369687762930226</v>
      </c>
    </row>
    <row r="8" spans="1:22" x14ac:dyDescent="0.3">
      <c r="A8" s="4">
        <v>15</v>
      </c>
      <c r="B8" s="7">
        <v>5</v>
      </c>
      <c r="C8" s="9">
        <v>317441</v>
      </c>
      <c r="D8" s="8">
        <v>323</v>
      </c>
      <c r="E8" s="6">
        <v>78</v>
      </c>
      <c r="F8" s="6">
        <f t="shared" si="5"/>
        <v>0.75851393188854488</v>
      </c>
      <c r="G8" s="6">
        <v>1.0175119156000643E-3</v>
      </c>
      <c r="H8" s="6">
        <v>2.5</v>
      </c>
      <c r="I8" s="6">
        <v>5.0746507839000022E-3</v>
      </c>
      <c r="J8" s="6">
        <v>0.99492534921609999</v>
      </c>
      <c r="K8" s="6">
        <v>97786.824343264132</v>
      </c>
      <c r="L8" s="6">
        <v>496.23398480863716</v>
      </c>
      <c r="M8" s="6">
        <v>487693.53675429907</v>
      </c>
      <c r="N8" s="6">
        <v>5772134.0240558665</v>
      </c>
      <c r="O8" s="14">
        <v>59.027727537134908</v>
      </c>
      <c r="P8" s="13">
        <f t="shared" si="2"/>
        <v>0.99614844320250939</v>
      </c>
      <c r="Q8" s="11">
        <f t="shared" si="3"/>
        <v>3.8515567974906073E-3</v>
      </c>
      <c r="R8" s="12">
        <f>R7*P7</f>
        <v>96381.961593200729</v>
      </c>
      <c r="S8" s="12">
        <f t="shared" si="4"/>
        <v>371.22059932977089</v>
      </c>
      <c r="T8" s="12">
        <f t="shared" si="0"/>
        <v>482837.8594643281</v>
      </c>
      <c r="U8" s="12">
        <f t="shared" si="1"/>
        <v>6116813.3669895623</v>
      </c>
      <c r="V8" s="15">
        <f t="shared" si="6"/>
        <v>63.464296284057717</v>
      </c>
    </row>
    <row r="9" spans="1:22" x14ac:dyDescent="0.3">
      <c r="A9" s="4">
        <v>20</v>
      </c>
      <c r="B9" s="7">
        <v>5</v>
      </c>
      <c r="C9" s="9">
        <v>302389</v>
      </c>
      <c r="D9" s="8">
        <v>520</v>
      </c>
      <c r="E9" s="6">
        <v>152</v>
      </c>
      <c r="F9" s="6">
        <f t="shared" si="5"/>
        <v>0.70769230769230773</v>
      </c>
      <c r="G9" s="6">
        <v>1.7196392725925876E-3</v>
      </c>
      <c r="H9" s="6">
        <v>2.5</v>
      </c>
      <c r="I9" s="6">
        <v>8.561390106325879E-3</v>
      </c>
      <c r="J9" s="6">
        <v>0.99143860989367416</v>
      </c>
      <c r="K9" s="6">
        <v>97290.590358455491</v>
      </c>
      <c r="L9" s="6">
        <v>832.94269773348481</v>
      </c>
      <c r="M9" s="6">
        <v>484370.59504794376</v>
      </c>
      <c r="N9" s="6">
        <v>5284440.4873015676</v>
      </c>
      <c r="O9" s="14">
        <v>54.316049145469066</v>
      </c>
      <c r="P9" s="13">
        <f t="shared" si="2"/>
        <v>0.99393356068769434</v>
      </c>
      <c r="Q9" s="11">
        <f t="shared" si="3"/>
        <v>6.0664393123056604E-3</v>
      </c>
      <c r="R9" s="12">
        <f t="shared" ref="R9:R22" si="7">R8*P8</f>
        <v>96010.740993870961</v>
      </c>
      <c r="S9" s="12">
        <f t="shared" si="4"/>
        <v>582.44333356881543</v>
      </c>
      <c r="T9" s="12">
        <f t="shared" si="0"/>
        <v>481509.81330327684</v>
      </c>
      <c r="U9" s="12">
        <f t="shared" si="1"/>
        <v>5633975.5075252345</v>
      </c>
      <c r="V9" s="15">
        <f t="shared" si="6"/>
        <v>58.680679361540292</v>
      </c>
    </row>
    <row r="10" spans="1:22" x14ac:dyDescent="0.3">
      <c r="A10" s="4">
        <v>25</v>
      </c>
      <c r="B10" s="7">
        <v>5</v>
      </c>
      <c r="C10" s="9">
        <v>277285</v>
      </c>
      <c r="D10" s="8">
        <v>587</v>
      </c>
      <c r="E10" s="6">
        <v>187</v>
      </c>
      <c r="F10" s="6">
        <f t="shared" si="5"/>
        <v>0.68143100511073251</v>
      </c>
      <c r="G10" s="6">
        <v>2.1169554790197811E-3</v>
      </c>
      <c r="H10" s="6">
        <v>2.5</v>
      </c>
      <c r="I10" s="6">
        <v>1.0529053551089226E-2</v>
      </c>
      <c r="J10" s="6">
        <v>0.98947094644891076</v>
      </c>
      <c r="K10" s="6">
        <v>96457.64766072201</v>
      </c>
      <c r="L10" s="6">
        <v>1015.6077376318385</v>
      </c>
      <c r="M10" s="6">
        <v>479749.21895953041</v>
      </c>
      <c r="N10" s="6">
        <v>4800069.8922536243</v>
      </c>
      <c r="O10" s="14">
        <v>49.763497334470394</v>
      </c>
      <c r="P10" s="13">
        <f t="shared" si="2"/>
        <v>0.99281308742348495</v>
      </c>
      <c r="Q10" s="11">
        <f t="shared" si="3"/>
        <v>7.1869125765150477E-3</v>
      </c>
      <c r="R10" s="12">
        <f t="shared" si="7"/>
        <v>95428.297660302153</v>
      </c>
      <c r="S10" s="12">
        <f t="shared" si="4"/>
        <v>685.83483261024708</v>
      </c>
      <c r="T10" s="12">
        <f t="shared" si="0"/>
        <v>478856.07538303634</v>
      </c>
      <c r="U10" s="12">
        <f t="shared" si="1"/>
        <v>5152465.6942219576</v>
      </c>
      <c r="V10" s="15">
        <f t="shared" si="6"/>
        <v>53.993058878230059</v>
      </c>
    </row>
    <row r="11" spans="1:22" x14ac:dyDescent="0.3">
      <c r="A11" s="4">
        <v>30</v>
      </c>
      <c r="B11" s="7">
        <v>5</v>
      </c>
      <c r="C11" s="9">
        <v>234851</v>
      </c>
      <c r="D11" s="8">
        <v>629</v>
      </c>
      <c r="E11" s="6">
        <v>159</v>
      </c>
      <c r="F11" s="6">
        <f t="shared" si="5"/>
        <v>0.74721780604133547</v>
      </c>
      <c r="G11" s="6">
        <v>2.6782938969814904E-3</v>
      </c>
      <c r="H11" s="6">
        <v>2.5</v>
      </c>
      <c r="I11" s="6">
        <v>1.3302400142117853E-2</v>
      </c>
      <c r="J11" s="6">
        <v>0.98669759985788219</v>
      </c>
      <c r="K11" s="6">
        <v>95442.039923090168</v>
      </c>
      <c r="L11" s="6">
        <v>1269.6082054369324</v>
      </c>
      <c r="M11" s="6">
        <v>474036.17910185852</v>
      </c>
      <c r="N11" s="6">
        <v>4320320.6732940935</v>
      </c>
      <c r="O11" s="14">
        <v>45.266432661912162</v>
      </c>
      <c r="P11" s="13">
        <f t="shared" si="2"/>
        <v>0.99004340439642624</v>
      </c>
      <c r="Q11" s="11">
        <f t="shared" si="3"/>
        <v>9.9565956035737591E-3</v>
      </c>
      <c r="R11" s="12">
        <f t="shared" si="7"/>
        <v>94742.46282769191</v>
      </c>
      <c r="S11" s="12">
        <f t="shared" si="4"/>
        <v>943.31238886194751</v>
      </c>
      <c r="T11" s="12">
        <f t="shared" si="0"/>
        <v>476070.59511061443</v>
      </c>
      <c r="U11" s="12">
        <f t="shared" si="1"/>
        <v>4673609.6188389212</v>
      </c>
      <c r="V11" s="15">
        <f t="shared" si="6"/>
        <v>49.329619257827545</v>
      </c>
    </row>
    <row r="12" spans="1:22" x14ac:dyDescent="0.3">
      <c r="A12" s="4">
        <v>35</v>
      </c>
      <c r="B12" s="7">
        <v>5</v>
      </c>
      <c r="C12" s="9">
        <v>195551</v>
      </c>
      <c r="D12" s="8">
        <v>704</v>
      </c>
      <c r="E12" s="6">
        <v>123</v>
      </c>
      <c r="F12" s="6">
        <f t="shared" si="5"/>
        <v>0.82528409090909094</v>
      </c>
      <c r="G12" s="6">
        <v>3.6000838655900506E-3</v>
      </c>
      <c r="H12" s="6">
        <v>2.5</v>
      </c>
      <c r="I12" s="6">
        <v>1.7839856875693703E-2</v>
      </c>
      <c r="J12" s="6">
        <v>0.98216014312430633</v>
      </c>
      <c r="K12" s="6">
        <v>94172.431717653235</v>
      </c>
      <c r="L12" s="6">
        <v>1680.0227034789718</v>
      </c>
      <c r="M12" s="6">
        <v>466662.10182956874</v>
      </c>
      <c r="N12" s="6">
        <v>3846284.4941922347</v>
      </c>
      <c r="O12" s="14">
        <v>40.842998572279868</v>
      </c>
      <c r="P12" s="13">
        <f t="shared" si="2"/>
        <v>0.98525394304772995</v>
      </c>
      <c r="Q12" s="11">
        <f t="shared" si="3"/>
        <v>1.4746056952270048E-2</v>
      </c>
      <c r="R12" s="12">
        <f t="shared" si="7"/>
        <v>93799.150438829965</v>
      </c>
      <c r="S12" s="12">
        <f t="shared" si="4"/>
        <v>1383.1676144455328</v>
      </c>
      <c r="T12" s="12">
        <f t="shared" si="0"/>
        <v>472453.67123026366</v>
      </c>
      <c r="U12" s="12">
        <f t="shared" si="1"/>
        <v>4197539.0237283064</v>
      </c>
      <c r="V12" s="15">
        <f t="shared" si="6"/>
        <v>44.750288292490275</v>
      </c>
    </row>
    <row r="13" spans="1:22" x14ac:dyDescent="0.3">
      <c r="A13" s="4">
        <v>40</v>
      </c>
      <c r="B13" s="7">
        <v>5</v>
      </c>
      <c r="C13" s="9">
        <v>178592</v>
      </c>
      <c r="D13" s="8">
        <v>859</v>
      </c>
      <c r="E13" s="6">
        <v>127</v>
      </c>
      <c r="F13" s="6">
        <f t="shared" si="5"/>
        <v>0.85215366705471474</v>
      </c>
      <c r="G13" s="6">
        <v>4.8098459057516578E-3</v>
      </c>
      <c r="H13" s="6">
        <v>2.5</v>
      </c>
      <c r="I13" s="6">
        <v>2.3763482802597109E-2</v>
      </c>
      <c r="J13" s="6">
        <v>0.9762365171974029</v>
      </c>
      <c r="K13" s="6">
        <v>92492.409014174264</v>
      </c>
      <c r="L13" s="6">
        <v>2197.9417709791078</v>
      </c>
      <c r="M13" s="6">
        <v>456967.19064342359</v>
      </c>
      <c r="N13" s="6">
        <v>3379622.3923626659</v>
      </c>
      <c r="O13" s="14">
        <v>36.539456895805863</v>
      </c>
      <c r="P13" s="13">
        <f t="shared" si="2"/>
        <v>0.97971396050967174</v>
      </c>
      <c r="Q13" s="11">
        <f t="shared" si="3"/>
        <v>2.0286039490328256E-2</v>
      </c>
      <c r="R13" s="12">
        <f t="shared" si="7"/>
        <v>92415.982824384439</v>
      </c>
      <c r="S13" s="12">
        <f t="shared" si="4"/>
        <v>1874.7542771129606</v>
      </c>
      <c r="T13" s="12">
        <f t="shared" si="0"/>
        <v>466766.79981470463</v>
      </c>
      <c r="U13" s="12">
        <f t="shared" si="1"/>
        <v>3725085.3524980424</v>
      </c>
      <c r="V13" s="15">
        <f t="shared" si="6"/>
        <v>40.307804328356497</v>
      </c>
    </row>
    <row r="14" spans="1:22" x14ac:dyDescent="0.3">
      <c r="A14" s="4">
        <v>45</v>
      </c>
      <c r="B14" s="7">
        <v>5</v>
      </c>
      <c r="C14" s="9">
        <v>168120</v>
      </c>
      <c r="D14" s="10">
        <v>1053</v>
      </c>
      <c r="E14" s="6">
        <v>85</v>
      </c>
      <c r="F14" s="6">
        <f t="shared" si="5"/>
        <v>0.91927825261158591</v>
      </c>
      <c r="G14" s="6">
        <v>6.2633832976445392E-3</v>
      </c>
      <c r="H14" s="6">
        <v>2.5</v>
      </c>
      <c r="I14" s="6">
        <v>3.083410198972197E-2</v>
      </c>
      <c r="J14" s="6">
        <v>0.96916589801027808</v>
      </c>
      <c r="K14" s="6">
        <v>90294.467243195162</v>
      </c>
      <c r="L14" s="6">
        <v>2784.1488120842891</v>
      </c>
      <c r="M14" s="6">
        <v>444511.96418576513</v>
      </c>
      <c r="N14" s="6">
        <v>2922655.2017192421</v>
      </c>
      <c r="O14" s="14">
        <v>32.368043036872798</v>
      </c>
      <c r="P14" s="13">
        <f t="shared" si="2"/>
        <v>0.97161920711432403</v>
      </c>
      <c r="Q14" s="11">
        <f t="shared" si="3"/>
        <v>2.8380792885675965E-2</v>
      </c>
      <c r="R14" s="12">
        <f t="shared" si="7"/>
        <v>90541.228547271472</v>
      </c>
      <c r="S14" s="12">
        <f t="shared" si="4"/>
        <v>2569.6318550147639</v>
      </c>
      <c r="T14" s="12">
        <f t="shared" si="0"/>
        <v>459130.22237389424</v>
      </c>
      <c r="U14" s="12">
        <f t="shared" si="1"/>
        <v>3258318.5526833376</v>
      </c>
      <c r="V14" s="15">
        <f t="shared" si="6"/>
        <v>35.987125478225352</v>
      </c>
    </row>
    <row r="15" spans="1:22" x14ac:dyDescent="0.3">
      <c r="A15" s="4">
        <v>50</v>
      </c>
      <c r="B15" s="7">
        <v>5</v>
      </c>
      <c r="C15" s="9">
        <v>145806</v>
      </c>
      <c r="D15" s="10">
        <v>1177</v>
      </c>
      <c r="E15" s="6">
        <v>57</v>
      </c>
      <c r="F15" s="6">
        <f t="shared" si="5"/>
        <v>0.95157179269328807</v>
      </c>
      <c r="G15" s="6">
        <v>8.0723701356597115E-3</v>
      </c>
      <c r="H15" s="6">
        <v>2.5</v>
      </c>
      <c r="I15" s="6">
        <v>3.9563424168983223E-2</v>
      </c>
      <c r="J15" s="6">
        <v>0.96043657583101683</v>
      </c>
      <c r="K15" s="6">
        <v>87510.318431110878</v>
      </c>
      <c r="L15" s="6">
        <v>3462.2078472528301</v>
      </c>
      <c r="M15" s="6">
        <v>428896.07253742235</v>
      </c>
      <c r="N15" s="6">
        <v>2478143.2375334771</v>
      </c>
      <c r="O15" s="14">
        <v>28.318297567209743</v>
      </c>
      <c r="P15" s="13">
        <f t="shared" si="2"/>
        <v>0.96231598654257078</v>
      </c>
      <c r="Q15" s="11">
        <f t="shared" si="3"/>
        <v>3.7684013457429222E-2</v>
      </c>
      <c r="R15" s="12">
        <f t="shared" si="7"/>
        <v>87971.596692256702</v>
      </c>
      <c r="S15" s="12">
        <f t="shared" si="4"/>
        <v>3315.1228336225377</v>
      </c>
      <c r="T15" s="12">
        <f t="shared" si="0"/>
        <v>448145.79054533981</v>
      </c>
      <c r="U15" s="12">
        <f t="shared" si="1"/>
        <v>2799188.3303094432</v>
      </c>
      <c r="V15" s="15">
        <f t="shared" si="6"/>
        <v>31.819228427802638</v>
      </c>
    </row>
    <row r="16" spans="1:22" x14ac:dyDescent="0.3">
      <c r="A16" s="4">
        <v>55</v>
      </c>
      <c r="B16" s="7">
        <v>5</v>
      </c>
      <c r="C16" s="9">
        <v>122143</v>
      </c>
      <c r="D16" s="10">
        <v>1428</v>
      </c>
      <c r="E16" s="6">
        <v>44</v>
      </c>
      <c r="F16" s="6">
        <f t="shared" si="5"/>
        <v>0.96918767507002801</v>
      </c>
      <c r="G16" s="6">
        <v>1.1691214396240473E-2</v>
      </c>
      <c r="H16" s="6">
        <v>2.5</v>
      </c>
      <c r="I16" s="6">
        <v>5.6796035413998559E-2</v>
      </c>
      <c r="J16" s="6">
        <v>0.94320396458600142</v>
      </c>
      <c r="K16" s="6">
        <v>84048.110583858055</v>
      </c>
      <c r="L16" s="6">
        <v>4773.5994652004692</v>
      </c>
      <c r="M16" s="6">
        <v>408306.55425628909</v>
      </c>
      <c r="N16" s="6">
        <v>2049247.1649960547</v>
      </c>
      <c r="O16" s="14">
        <v>24.381835008074827</v>
      </c>
      <c r="P16" s="13">
        <f t="shared" si="2"/>
        <v>0.94490484867946001</v>
      </c>
      <c r="Q16" s="11">
        <f t="shared" si="3"/>
        <v>5.5095151320539992E-2</v>
      </c>
      <c r="R16" s="12">
        <f t="shared" si="7"/>
        <v>84656.47385863417</v>
      </c>
      <c r="S16" s="12">
        <f t="shared" si="4"/>
        <v>4664.161237504788</v>
      </c>
      <c r="T16" s="12">
        <f t="shared" si="0"/>
        <v>434942.77238693286</v>
      </c>
      <c r="U16" s="12">
        <f t="shared" si="1"/>
        <v>2351042.5397641035</v>
      </c>
      <c r="V16" s="15">
        <f t="shared" si="6"/>
        <v>27.771562322452191</v>
      </c>
    </row>
    <row r="17" spans="1:22" x14ac:dyDescent="0.3">
      <c r="A17" s="4">
        <v>60</v>
      </c>
      <c r="B17" s="7">
        <v>5</v>
      </c>
      <c r="C17" s="9">
        <v>96456</v>
      </c>
      <c r="D17" s="10">
        <v>1667</v>
      </c>
      <c r="E17" s="6">
        <v>31</v>
      </c>
      <c r="F17" s="6">
        <f t="shared" si="5"/>
        <v>0.98140371925614878</v>
      </c>
      <c r="G17" s="6">
        <v>1.7282491498714438E-2</v>
      </c>
      <c r="H17" s="6">
        <v>2.5</v>
      </c>
      <c r="I17" s="6">
        <v>8.2833532922229905E-2</v>
      </c>
      <c r="J17" s="6">
        <v>0.91716646707777005</v>
      </c>
      <c r="K17" s="6">
        <v>79274.511118657581</v>
      </c>
      <c r="L17" s="6">
        <v>6566.5878266410036</v>
      </c>
      <c r="M17" s="6">
        <v>379956.08602668543</v>
      </c>
      <c r="N17" s="6">
        <v>1640940.6107397657</v>
      </c>
      <c r="O17" s="14">
        <v>20.69947310408028</v>
      </c>
      <c r="P17" s="13">
        <f t="shared" si="2"/>
        <v>0.91864241247110057</v>
      </c>
      <c r="Q17" s="11">
        <f t="shared" si="3"/>
        <v>8.1357587528899433E-2</v>
      </c>
      <c r="R17" s="12">
        <f t="shared" si="7"/>
        <v>79992.312621129386</v>
      </c>
      <c r="S17" s="12">
        <f t="shared" si="4"/>
        <v>6507.9815757126207</v>
      </c>
      <c r="T17" s="12">
        <f t="shared" si="0"/>
        <v>416231.51704492851</v>
      </c>
      <c r="U17" s="12">
        <f t="shared" si="1"/>
        <v>1916099.7673771707</v>
      </c>
      <c r="V17" s="15">
        <f t="shared" si="6"/>
        <v>23.953548842280213</v>
      </c>
    </row>
    <row r="18" spans="1:22" x14ac:dyDescent="0.3">
      <c r="A18" s="4">
        <v>65</v>
      </c>
      <c r="B18" s="7">
        <v>5</v>
      </c>
      <c r="C18" s="9">
        <v>71907</v>
      </c>
      <c r="D18" s="10">
        <v>1766</v>
      </c>
      <c r="E18" s="6">
        <v>25</v>
      </c>
      <c r="F18" s="6">
        <f t="shared" si="5"/>
        <v>0.98584371460928655</v>
      </c>
      <c r="G18" s="6">
        <v>2.4559500465879538E-2</v>
      </c>
      <c r="H18" s="6">
        <v>2.5</v>
      </c>
      <c r="I18" s="6">
        <v>0.11569403317523125</v>
      </c>
      <c r="J18" s="6">
        <v>0.88430596682476881</v>
      </c>
      <c r="K18" s="6">
        <v>72707.923292016581</v>
      </c>
      <c r="L18" s="6">
        <v>8411.8728894487358</v>
      </c>
      <c r="M18" s="6">
        <v>342509.93423646106</v>
      </c>
      <c r="N18" s="6">
        <v>1260984.5247130804</v>
      </c>
      <c r="O18" s="14">
        <v>17.343151442361965</v>
      </c>
      <c r="P18" s="13">
        <f t="shared" si="2"/>
        <v>0.8858464821987333</v>
      </c>
      <c r="Q18" s="11">
        <f t="shared" si="3"/>
        <v>0.1141535178012667</v>
      </c>
      <c r="R18" s="12">
        <f t="shared" si="7"/>
        <v>73484.331045416766</v>
      </c>
      <c r="S18" s="12">
        <f t="shared" si="4"/>
        <v>8388.4948921071573</v>
      </c>
      <c r="T18" s="12">
        <f t="shared" si="0"/>
        <v>388392.89245735173</v>
      </c>
      <c r="U18" s="12">
        <f t="shared" si="1"/>
        <v>1499868.2503322421</v>
      </c>
      <c r="V18" s="15">
        <f t="shared" si="6"/>
        <v>20.410721972895871</v>
      </c>
    </row>
    <row r="19" spans="1:22" x14ac:dyDescent="0.3">
      <c r="A19" s="4">
        <v>70</v>
      </c>
      <c r="B19" s="7">
        <v>5</v>
      </c>
      <c r="C19" s="9">
        <v>55098</v>
      </c>
      <c r="D19" s="10">
        <v>1886</v>
      </c>
      <c r="E19" s="6">
        <v>16</v>
      </c>
      <c r="F19" s="6">
        <f t="shared" si="5"/>
        <v>0.99151643690349944</v>
      </c>
      <c r="G19" s="6">
        <v>3.4229917601364838E-2</v>
      </c>
      <c r="H19" s="6">
        <v>2.5</v>
      </c>
      <c r="I19" s="6">
        <v>0.15765803420661059</v>
      </c>
      <c r="J19" s="6">
        <v>0.84234196579338938</v>
      </c>
      <c r="K19" s="6">
        <v>64296.050402567853</v>
      </c>
      <c r="L19" s="6">
        <v>10136.788913718001</v>
      </c>
      <c r="M19" s="6">
        <v>296138.27972854429</v>
      </c>
      <c r="N19" s="6">
        <v>918474.5904766192</v>
      </c>
      <c r="O19" s="14">
        <v>14.285085704734628</v>
      </c>
      <c r="P19" s="13">
        <f t="shared" si="2"/>
        <v>0.84356890258320039</v>
      </c>
      <c r="Q19" s="11">
        <f t="shared" si="3"/>
        <v>0.15643109741679961</v>
      </c>
      <c r="R19" s="12">
        <f t="shared" si="7"/>
        <v>65095.83615330961</v>
      </c>
      <c r="S19" s="12">
        <f t="shared" si="4"/>
        <v>10183.013086726402</v>
      </c>
      <c r="T19" s="12">
        <f t="shared" si="0"/>
        <v>350936.71348336403</v>
      </c>
      <c r="U19" s="12">
        <f t="shared" si="1"/>
        <v>1111475.3578748903</v>
      </c>
      <c r="V19" s="15">
        <f t="shared" si="6"/>
        <v>17.074446286506156</v>
      </c>
    </row>
    <row r="20" spans="1:22" x14ac:dyDescent="0.3">
      <c r="A20" s="4">
        <v>75</v>
      </c>
      <c r="B20" s="7">
        <v>5</v>
      </c>
      <c r="C20" s="9">
        <v>39389</v>
      </c>
      <c r="D20" s="10">
        <v>1940</v>
      </c>
      <c r="E20" s="6">
        <v>12</v>
      </c>
      <c r="F20" s="6">
        <f t="shared" si="5"/>
        <v>0.99381443298969074</v>
      </c>
      <c r="G20" s="6">
        <v>4.9252329330523752E-2</v>
      </c>
      <c r="H20" s="6">
        <v>2.5</v>
      </c>
      <c r="I20" s="6">
        <v>0.21926354574018403</v>
      </c>
      <c r="J20" s="6">
        <v>0.78073645425981597</v>
      </c>
      <c r="K20" s="6">
        <v>54159.26148884985</v>
      </c>
      <c r="L20" s="6">
        <v>11875.151708715017</v>
      </c>
      <c r="M20" s="6">
        <v>241108.42817246172</v>
      </c>
      <c r="N20" s="6">
        <v>622336.3107480749</v>
      </c>
      <c r="O20" s="14">
        <v>11.490856663106451</v>
      </c>
      <c r="P20" s="13">
        <f t="shared" si="2"/>
        <v>0.78193270610183774</v>
      </c>
      <c r="Q20" s="11">
        <f t="shared" si="3"/>
        <v>0.21806729389816226</v>
      </c>
      <c r="R20" s="12">
        <f t="shared" si="7"/>
        <v>54912.823066583209</v>
      </c>
      <c r="S20" s="12">
        <f t="shared" si="4"/>
        <v>11974.690726438384</v>
      </c>
      <c r="T20" s="12">
        <f t="shared" si="0"/>
        <v>304500.84214901197</v>
      </c>
      <c r="U20" s="12">
        <f>U21+T20</f>
        <v>760538.64439152624</v>
      </c>
      <c r="V20" s="15">
        <f t="shared" si="6"/>
        <v>13.849927975280993</v>
      </c>
    </row>
    <row r="21" spans="1:22" x14ac:dyDescent="0.3">
      <c r="A21" s="4">
        <v>80</v>
      </c>
      <c r="B21" s="7">
        <v>5</v>
      </c>
      <c r="C21" s="9">
        <v>25268</v>
      </c>
      <c r="D21" s="10">
        <v>1926</v>
      </c>
      <c r="E21" s="6">
        <v>7</v>
      </c>
      <c r="F21" s="6">
        <f t="shared" si="5"/>
        <v>0.9963655244029076</v>
      </c>
      <c r="G21" s="6">
        <v>7.6222890612632585E-2</v>
      </c>
      <c r="H21" s="6">
        <v>2.5</v>
      </c>
      <c r="I21" s="6">
        <v>0.32011435029751023</v>
      </c>
      <c r="J21" s="6">
        <v>0.67988564970248977</v>
      </c>
      <c r="K21" s="6">
        <v>42284.109780134837</v>
      </c>
      <c r="L21" s="6">
        <v>13535.750330176461</v>
      </c>
      <c r="M21" s="6">
        <v>177581.17307523303</v>
      </c>
      <c r="N21" s="6">
        <v>381227.88257561321</v>
      </c>
      <c r="O21" s="14">
        <v>9.0158663516363031</v>
      </c>
      <c r="P21" s="13">
        <f t="shared" si="2"/>
        <v>0.68083971676745358</v>
      </c>
      <c r="Q21" s="11">
        <f t="shared" si="3"/>
        <v>0.31916028323254642</v>
      </c>
      <c r="R21" s="12">
        <f t="shared" si="7"/>
        <v>42938.132340144824</v>
      </c>
      <c r="S21" s="12">
        <f t="shared" si="4"/>
        <v>13704.146479157183</v>
      </c>
      <c r="T21" s="12">
        <f>B21*R21+H21*S21</f>
        <v>248951.02789861709</v>
      </c>
      <c r="U21" s="12">
        <f>U22+T21</f>
        <v>456037.80224251421</v>
      </c>
      <c r="V21" s="15">
        <f t="shared" si="6"/>
        <v>10.620811325231852</v>
      </c>
    </row>
    <row r="22" spans="1:22" x14ac:dyDescent="0.3">
      <c r="A22" s="4" t="s">
        <v>12</v>
      </c>
      <c r="B22" s="7">
        <v>5</v>
      </c>
      <c r="C22" s="9">
        <v>23086</v>
      </c>
      <c r="D22" s="10">
        <v>3259</v>
      </c>
      <c r="E22" s="6">
        <v>0</v>
      </c>
      <c r="F22" s="6">
        <f t="shared" si="5"/>
        <v>1</v>
      </c>
      <c r="G22" s="6">
        <v>0.14116780732911721</v>
      </c>
      <c r="H22" s="6">
        <v>2.5</v>
      </c>
      <c r="I22" s="6">
        <v>1</v>
      </c>
      <c r="J22" s="6">
        <v>0</v>
      </c>
      <c r="K22" s="6">
        <v>28748.359449958374</v>
      </c>
      <c r="L22" s="6">
        <v>28748.359449958374</v>
      </c>
      <c r="M22" s="6">
        <v>203646.70950038018</v>
      </c>
      <c r="N22" s="6">
        <v>203646.70950038018</v>
      </c>
      <c r="O22" s="14">
        <v>7.0837680270021481</v>
      </c>
      <c r="P22" s="13">
        <f t="shared" si="2"/>
        <v>0</v>
      </c>
      <c r="Q22" s="11">
        <f t="shared" si="3"/>
        <v>1</v>
      </c>
      <c r="R22" s="12">
        <f t="shared" si="7"/>
        <v>29233.985860987643</v>
      </c>
      <c r="S22" s="12">
        <f t="shared" si="4"/>
        <v>29233.985860987643</v>
      </c>
      <c r="T22" s="12">
        <f>R22/G22</f>
        <v>207086.77434389712</v>
      </c>
      <c r="U22" s="12">
        <f>R22/G22</f>
        <v>207086.77434389712</v>
      </c>
      <c r="V22" s="15">
        <f t="shared" si="6"/>
        <v>7.0837680270021481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vida CE (femenina)</vt:lpstr>
      <vt:lpstr>Tabla de vida CE (masculina)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Ximena Ramìrez Pera</cp:lastModifiedBy>
  <dcterms:created xsi:type="dcterms:W3CDTF">2026-06-02T20:03:18Z</dcterms:created>
  <dcterms:modified xsi:type="dcterms:W3CDTF">2026-06-03T02:52:55Z</dcterms:modified>
</cp:coreProperties>
</file>