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13_ncr:1_{E04EC46A-7B88-48A0-AE05-E4CD4295EC4A}" xr6:coauthVersionLast="47" xr6:coauthVersionMax="47" xr10:uidLastSave="{00000000-0000-0000-0000-000000000000}"/>
  <bookViews>
    <workbookView xWindow="-108" yWindow="-108" windowWidth="23256" windowHeight="12456" activeTab="2" xr2:uid="{9CA03E90-29BB-40DA-B913-D69114BB2AB8}"/>
  </bookViews>
  <sheets>
    <sheet name="2010" sheetId="2" r:id="rId1"/>
    <sheet name="2020" sheetId="3" r:id="rId2"/>
    <sheet name="2010 y 2020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3" i="4" l="1"/>
  <c r="L11" i="4"/>
  <c r="L18" i="4"/>
  <c r="D24" i="4"/>
  <c r="B24" i="4"/>
  <c r="I3" i="4"/>
  <c r="I2" i="4"/>
  <c r="H25" i="3"/>
  <c r="I25" i="3"/>
  <c r="I8" i="3"/>
  <c r="G25" i="3"/>
  <c r="H24" i="3"/>
  <c r="G24" i="3"/>
  <c r="I24" i="3"/>
  <c r="H23" i="3"/>
  <c r="G23" i="3"/>
  <c r="I23" i="3"/>
  <c r="H22" i="3"/>
  <c r="G22" i="3"/>
  <c r="I22" i="3"/>
  <c r="H21" i="3"/>
  <c r="G21" i="3"/>
  <c r="I21" i="3"/>
  <c r="H20" i="3"/>
  <c r="G20" i="3"/>
  <c r="I20" i="3"/>
  <c r="H19" i="3"/>
  <c r="G19" i="3"/>
  <c r="I19" i="3"/>
  <c r="H18" i="3"/>
  <c r="G18" i="3"/>
  <c r="I18" i="3"/>
  <c r="H17" i="3"/>
  <c r="G17" i="3"/>
  <c r="I17" i="3"/>
  <c r="H16" i="3"/>
  <c r="G16" i="3"/>
  <c r="I16" i="3"/>
  <c r="H15" i="3"/>
  <c r="G15" i="3"/>
  <c r="I15" i="3"/>
  <c r="H14" i="3"/>
  <c r="G14" i="3"/>
  <c r="I14" i="3"/>
  <c r="H13" i="3"/>
  <c r="G13" i="3"/>
  <c r="I13" i="3"/>
  <c r="H12" i="3"/>
  <c r="G12" i="3"/>
  <c r="I12" i="3"/>
  <c r="H11" i="3"/>
  <c r="G11" i="3"/>
  <c r="I11" i="3"/>
  <c r="H10" i="3"/>
  <c r="G10" i="3"/>
  <c r="I10" i="3"/>
  <c r="H9" i="3"/>
  <c r="G9" i="3"/>
  <c r="I9" i="3"/>
  <c r="H8" i="3"/>
  <c r="G8" i="3"/>
  <c r="I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8" i="2"/>
  <c r="I25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G7" i="3" l="1"/>
  <c r="C7" i="3" s="1"/>
  <c r="G7" i="2"/>
  <c r="H7" i="2"/>
  <c r="H7" i="3"/>
  <c r="D7" i="3" s="1"/>
  <c r="I7" i="3"/>
  <c r="E7" i="3" s="1"/>
  <c r="L3" i="4"/>
  <c r="I7" i="2"/>
  <c r="H6" i="4"/>
  <c r="L6" i="4" s="1"/>
  <c r="H18" i="4"/>
  <c r="H12" i="4"/>
  <c r="L12" i="4" s="1"/>
  <c r="I23" i="4"/>
  <c r="M23" i="4" s="1"/>
  <c r="I17" i="4"/>
  <c r="M17" i="4" s="1"/>
  <c r="I11" i="4"/>
  <c r="M11" i="4" s="1"/>
  <c r="H23" i="4"/>
  <c r="H17" i="4"/>
  <c r="L17" i="4" s="1"/>
  <c r="H11" i="4"/>
  <c r="I22" i="4"/>
  <c r="M22" i="4" s="1"/>
  <c r="I16" i="4"/>
  <c r="M16" i="4" s="1"/>
  <c r="I10" i="4"/>
  <c r="M10" i="4" s="1"/>
  <c r="H22" i="4"/>
  <c r="L22" i="4" s="1"/>
  <c r="H16" i="4"/>
  <c r="L16" i="4" s="1"/>
  <c r="H10" i="4"/>
  <c r="L10" i="4" s="1"/>
  <c r="I21" i="4"/>
  <c r="M21" i="4" s="1"/>
  <c r="I15" i="4"/>
  <c r="M15" i="4" s="1"/>
  <c r="I9" i="4"/>
  <c r="M9" i="4" s="1"/>
  <c r="H21" i="4"/>
  <c r="L21" i="4" s="1"/>
  <c r="H15" i="4"/>
  <c r="L15" i="4" s="1"/>
  <c r="H9" i="4"/>
  <c r="L9" i="4" s="1"/>
  <c r="I20" i="4"/>
  <c r="M20" i="4" s="1"/>
  <c r="I14" i="4"/>
  <c r="M14" i="4" s="1"/>
  <c r="I8" i="4"/>
  <c r="M8" i="4" s="1"/>
  <c r="H20" i="4"/>
  <c r="L20" i="4" s="1"/>
  <c r="H14" i="4"/>
  <c r="L14" i="4" s="1"/>
  <c r="H8" i="4"/>
  <c r="L8" i="4" s="1"/>
  <c r="I19" i="4"/>
  <c r="M19" i="4" s="1"/>
  <c r="I13" i="4"/>
  <c r="M13" i="4" s="1"/>
  <c r="I7" i="4"/>
  <c r="M7" i="4" s="1"/>
  <c r="H19" i="4"/>
  <c r="L19" i="4" s="1"/>
  <c r="H13" i="4"/>
  <c r="L13" i="4" s="1"/>
  <c r="H7" i="4"/>
  <c r="L7" i="4" s="1"/>
  <c r="I18" i="4"/>
  <c r="M18" i="4" s="1"/>
  <c r="I12" i="4"/>
  <c r="M12" i="4" s="1"/>
  <c r="I6" i="4"/>
  <c r="M6" i="4" s="1"/>
</calcChain>
</file>

<file path=xl/sharedStrings.xml><?xml version="1.0" encoding="utf-8"?>
<sst xmlns="http://schemas.openxmlformats.org/spreadsheetml/2006/main" count="104" uniqueCount="40">
  <si>
    <t/>
  </si>
  <si>
    <t>Total</t>
  </si>
  <si>
    <t>Hombre</t>
  </si>
  <si>
    <t>Mujer</t>
  </si>
  <si>
    <t>De 0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</si>
  <si>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</si>
  <si>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</si>
  <si>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</si>
  <si>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</si>
  <si>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</si>
  <si>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</si>
  <si>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</si>
  <si>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</si>
  <si>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</si>
  <si>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</si>
  <si>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</si>
  <si>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</si>
  <si>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</si>
  <si>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</si>
  <si>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</si>
  <si>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</si>
  <si>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y más años</t>
  </si>
  <si>
    <t>No especificado</t>
  </si>
  <si>
    <t>Consulta de: Población total   Por: Edad   Según: Sexo y Entidad y municipio</t>
  </si>
  <si>
    <t>Hombres</t>
  </si>
  <si>
    <t>Mujeres</t>
  </si>
  <si>
    <t>85 años y más</t>
  </si>
  <si>
    <t>FUENTE: INEGI. Censo de Población y Vivienda 2020. Cuestionario Básico.</t>
  </si>
  <si>
    <t>Prorrateo</t>
  </si>
  <si>
    <t>Censo 2010</t>
  </si>
  <si>
    <t>Censo 2020</t>
  </si>
  <si>
    <t>r</t>
  </si>
  <si>
    <t>APV</t>
  </si>
  <si>
    <t>5779829</t>
  </si>
  <si>
    <t>2769855</t>
  </si>
  <si>
    <t>3009974</t>
  </si>
  <si>
    <t>Totales</t>
  </si>
  <si>
    <t>Censo</t>
  </si>
  <si>
    <t>Δ:</t>
  </si>
  <si>
    <t>Población total Puebla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</si>
</sst>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#"/>
    <numFmt numFmtId="165" formatCode="_-* #,##0_-;\-* #,##0_-;_-* &quot;-&quot;??_-;_-@_-"/>
    <numFmt numFmtId="166" formatCode="_-* #,##0.0000_-;\-* #,##0.0000_-;_-* &quot;-&quot;??_-;_-@_-"/>
    <numFmt numFmtId="167" formatCode="0.000%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</font>
    <font>
      <sz val="16"/>
      <name val="Aptos Narrow"/>
      <family val="2"/>
    </font>
    <font>
      <i/>
      <sz val="16"/>
      <color theme="0"/>
      <name val="Aptos Narrow"/>
      <family val="2"/>
      <scheme val="minor"/>
    </font>
    <font>
      <i/>
      <sz val="14"/>
      <color theme="0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99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E0C1FF"/>
        <bgColor indexed="64"/>
      </patternFill>
    </fill>
    <fill>
      <patternFill patternType="solid">
        <fgColor rgb="FFFFD65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/>
      <right style="thin">
        <color indexed="64"/>
      </right>
      <top style="thin">
        <color theme="4"/>
      </top>
      <bottom/>
      <diagonal/>
    </border>
    <border>
      <left style="thin">
        <color indexed="64"/>
      </left>
      <right/>
      <top style="thin">
        <color theme="4"/>
      </top>
      <bottom style="thin">
        <color indexed="64"/>
      </bottom>
      <diagonal/>
    </border>
    <border>
      <left/>
      <right/>
      <top style="thin">
        <color theme="4"/>
      </top>
      <bottom style="thin">
        <color indexed="64"/>
      </bottom>
      <diagonal/>
    </border>
    <border>
      <left/>
      <right style="thin">
        <color indexed="64"/>
      </right>
      <top style="thin">
        <color theme="4"/>
      </top>
      <bottom style="thin">
        <color indexed="64"/>
      </bottom>
      <diagonal/>
    </border>
    <border>
      <left style="dashed">
        <color theme="0"/>
      </left>
      <right style="dashed">
        <color theme="0"/>
      </right>
      <top style="dashed">
        <color theme="0"/>
      </top>
      <bottom style="dashed">
        <color theme="0"/>
      </bottom>
      <diagonal/>
    </border>
    <border>
      <left style="dashed">
        <color theme="0"/>
      </left>
      <right style="dashed">
        <color theme="0"/>
      </right>
      <top style="dashed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3"/>
      </right>
      <top/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 tint="9.9978637043366805E-2"/>
      </top>
      <bottom style="thin">
        <color theme="3"/>
      </bottom>
      <diagonal/>
    </border>
    <border>
      <left style="thin">
        <color theme="3"/>
      </left>
      <right/>
      <top/>
      <bottom/>
      <diagonal/>
    </border>
    <border>
      <left style="thin">
        <color theme="3" tint="9.9978637043366805E-2"/>
      </left>
      <right/>
      <top/>
      <bottom style="thin">
        <color theme="3" tint="9.9978637043366805E-2"/>
      </bottom>
      <diagonal/>
    </border>
    <border>
      <left style="thin">
        <color theme="3"/>
      </left>
      <right/>
      <top style="thin">
        <color theme="3" tint="9.9978637043366805E-2"/>
      </top>
      <bottom style="thin">
        <color theme="3" tint="9.9978637043366805E-2"/>
      </bottom>
      <diagonal/>
    </border>
    <border>
      <left/>
      <right style="thin">
        <color theme="3" tint="9.9978637043366805E-2"/>
      </right>
      <top/>
      <bottom/>
      <diagonal/>
    </border>
    <border>
      <left style="thin">
        <color theme="3" tint="9.9978637043366805E-2"/>
      </left>
      <right/>
      <top style="thin">
        <color theme="3" tint="9.9978637043366805E-2"/>
      </top>
      <bottom style="thin">
        <color theme="3" tint="9.9978637043366805E-2"/>
      </bottom>
      <diagonal/>
    </border>
    <border>
      <left style="thin">
        <color theme="3"/>
      </left>
      <right/>
      <top style="thin">
        <color theme="3"/>
      </top>
      <bottom style="thin">
        <color theme="3" tint="9.9978637043366805E-2"/>
      </bottom>
      <diagonal/>
    </border>
    <border>
      <left/>
      <right style="thin">
        <color theme="3"/>
      </right>
      <top style="thin">
        <color theme="3"/>
      </top>
      <bottom style="thin">
        <color theme="3" tint="9.9978637043366805E-2"/>
      </bottom>
      <diagonal/>
    </border>
    <border>
      <left/>
      <right style="thin">
        <color theme="3"/>
      </right>
      <top style="thin">
        <color theme="3" tint="9.9978637043366805E-2"/>
      </top>
      <bottom style="thin">
        <color theme="3" tint="9.9978637043366805E-2"/>
      </bottom>
      <diagonal/>
    </border>
    <border>
      <left/>
      <right style="thin">
        <color theme="3"/>
      </right>
      <top/>
      <bottom style="thin">
        <color theme="3" tint="9.9978637043366805E-2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3" tint="9.9978637043366805E-2"/>
      </left>
      <right/>
      <top/>
      <bottom/>
      <diagonal/>
    </border>
  </borders>
  <cellStyleXfs count="4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164" fontId="18" fillId="0" borderId="0" xfId="43" applyNumberFormat="1" applyAlignment="1">
      <alignment horizontal="center" vertical="center"/>
    </xf>
    <xf numFmtId="164" fontId="19" fillId="0" borderId="0" xfId="43" applyNumberFormat="1" applyFont="1" applyAlignment="1">
      <alignment horizontal="center" vertical="center"/>
    </xf>
    <xf numFmtId="1" fontId="19" fillId="0" borderId="0" xfId="44" applyNumberFormat="1" applyAlignment="1">
      <alignment horizontal="center" vertical="center"/>
    </xf>
    <xf numFmtId="0" fontId="19" fillId="0" borderId="0" xfId="43" applyFont="1" applyAlignment="1">
      <alignment vertical="center"/>
    </xf>
    <xf numFmtId="0" fontId="1" fillId="0" borderId="0" xfId="0" applyFont="1" applyAlignment="1">
      <alignment horizontal="center" vertical="center"/>
    </xf>
    <xf numFmtId="0" fontId="19" fillId="0" borderId="0" xfId="43" applyFont="1" applyAlignment="1">
      <alignment horizontal="center" vertical="center"/>
    </xf>
    <xf numFmtId="164" fontId="19" fillId="0" borderId="0" xfId="43" applyNumberFormat="1" applyFont="1" applyAlignment="1">
      <alignment vertical="center"/>
    </xf>
    <xf numFmtId="1" fontId="19" fillId="36" borderId="0" xfId="44" applyNumberFormat="1" applyFill="1" applyAlignment="1">
      <alignment horizontal="center" vertical="center"/>
    </xf>
    <xf numFmtId="1" fontId="19" fillId="33" borderId="0" xfId="44" applyNumberFormat="1" applyFill="1" applyAlignment="1">
      <alignment horizontal="center" vertical="center"/>
    </xf>
    <xf numFmtId="1" fontId="19" fillId="35" borderId="0" xfId="44" applyNumberFormat="1" applyFill="1" applyAlignment="1">
      <alignment horizontal="center" vertical="center"/>
    </xf>
    <xf numFmtId="1" fontId="19" fillId="34" borderId="0" xfId="44" applyNumberForma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0" fontId="19" fillId="0" borderId="0" xfId="0" applyFont="1"/>
    <xf numFmtId="14" fontId="0" fillId="0" borderId="0" xfId="0" applyNumberFormat="1"/>
    <xf numFmtId="14" fontId="19" fillId="0" borderId="0" xfId="0" applyNumberFormat="1" applyFont="1"/>
    <xf numFmtId="164" fontId="18" fillId="36" borderId="0" xfId="43" applyNumberFormat="1" applyFill="1" applyAlignment="1">
      <alignment horizontal="center" vertical="center"/>
    </xf>
    <xf numFmtId="164" fontId="23" fillId="37" borderId="0" xfId="43" applyNumberFormat="1" applyFont="1" applyFill="1" applyAlignment="1">
      <alignment horizontal="center" vertical="center"/>
    </xf>
    <xf numFmtId="1" fontId="23" fillId="0" borderId="0" xfId="44" applyNumberFormat="1" applyFont="1" applyAlignment="1">
      <alignment horizontal="center" vertical="center"/>
    </xf>
    <xf numFmtId="165" fontId="19" fillId="0" borderId="0" xfId="45" applyNumberFormat="1" applyFont="1" applyAlignment="1">
      <alignment horizontal="center" vertical="center"/>
    </xf>
    <xf numFmtId="1" fontId="23" fillId="38" borderId="10" xfId="44" applyNumberFormat="1" applyFont="1" applyFill="1" applyBorder="1" applyAlignment="1">
      <alignment horizontal="center" vertical="center"/>
    </xf>
    <xf numFmtId="1" fontId="21" fillId="34" borderId="11" xfId="44" applyNumberFormat="1" applyFont="1" applyFill="1" applyBorder="1" applyAlignment="1">
      <alignment horizontal="center" vertical="center"/>
    </xf>
    <xf numFmtId="1" fontId="21" fillId="35" borderId="11" xfId="44" applyNumberFormat="1" applyFont="1" applyFill="1" applyBorder="1" applyAlignment="1">
      <alignment horizontal="center" vertical="center"/>
    </xf>
    <xf numFmtId="1" fontId="21" fillId="33" borderId="12" xfId="44" applyNumberFormat="1" applyFont="1" applyFill="1" applyBorder="1" applyAlignment="1">
      <alignment horizontal="center" vertical="center"/>
    </xf>
    <xf numFmtId="1" fontId="19" fillId="0" borderId="10" xfId="44" applyNumberFormat="1" applyBorder="1" applyAlignment="1">
      <alignment horizontal="center" vertical="center"/>
    </xf>
    <xf numFmtId="165" fontId="19" fillId="0" borderId="11" xfId="45" applyNumberFormat="1" applyFont="1" applyBorder="1" applyAlignment="1">
      <alignment horizontal="center" vertical="center"/>
    </xf>
    <xf numFmtId="165" fontId="19" fillId="0" borderId="12" xfId="45" applyNumberFormat="1" applyFont="1" applyBorder="1" applyAlignment="1">
      <alignment horizontal="center" vertical="center"/>
    </xf>
    <xf numFmtId="1" fontId="19" fillId="36" borderId="13" xfId="44" applyNumberFormat="1" applyFill="1" applyBorder="1" applyAlignment="1">
      <alignment horizontal="center" vertical="center"/>
    </xf>
    <xf numFmtId="165" fontId="19" fillId="0" borderId="14" xfId="45" applyNumberFormat="1" applyFont="1" applyBorder="1" applyAlignment="1">
      <alignment horizontal="center" vertical="center"/>
    </xf>
    <xf numFmtId="165" fontId="19" fillId="0" borderId="15" xfId="45" applyNumberFormat="1" applyFont="1" applyBorder="1" applyAlignment="1">
      <alignment horizontal="center" vertical="center"/>
    </xf>
    <xf numFmtId="165" fontId="19" fillId="0" borderId="16" xfId="45" applyNumberFormat="1" applyFont="1" applyBorder="1" applyAlignment="1">
      <alignment horizontal="center" vertical="center"/>
    </xf>
    <xf numFmtId="165" fontId="19" fillId="0" borderId="17" xfId="45" applyNumberFormat="1" applyFont="1" applyBorder="1" applyAlignment="1">
      <alignment horizontal="center" vertical="center"/>
    </xf>
    <xf numFmtId="165" fontId="19" fillId="0" borderId="18" xfId="45" applyNumberFormat="1" applyFont="1" applyBorder="1" applyAlignment="1">
      <alignment horizontal="center" vertical="center"/>
    </xf>
    <xf numFmtId="165" fontId="19" fillId="0" borderId="19" xfId="45" applyNumberFormat="1" applyFont="1" applyBorder="1" applyAlignment="1">
      <alignment horizontal="center" vertical="center"/>
    </xf>
    <xf numFmtId="165" fontId="19" fillId="0" borderId="20" xfId="45" applyNumberFormat="1" applyFont="1" applyBorder="1" applyAlignment="1">
      <alignment horizontal="center" vertical="center"/>
    </xf>
    <xf numFmtId="165" fontId="19" fillId="0" borderId="21" xfId="45" applyNumberFormat="1" applyFont="1" applyBorder="1" applyAlignment="1">
      <alignment horizontal="center" vertical="center"/>
    </xf>
    <xf numFmtId="165" fontId="19" fillId="0" borderId="22" xfId="45" applyNumberFormat="1" applyFont="1" applyBorder="1" applyAlignment="1">
      <alignment horizontal="center" vertical="center"/>
    </xf>
    <xf numFmtId="165" fontId="19" fillId="0" borderId="23" xfId="45" applyNumberFormat="1" applyFont="1" applyBorder="1" applyAlignment="1">
      <alignment horizontal="center" vertical="center"/>
    </xf>
    <xf numFmtId="0" fontId="19" fillId="0" borderId="0" xfId="43" applyFont="1" applyAlignment="1">
      <alignment horizontal="left" vertical="center"/>
    </xf>
    <xf numFmtId="0" fontId="24" fillId="0" borderId="0" xfId="43" applyFont="1" applyAlignment="1">
      <alignment horizontal="left" vertical="center"/>
    </xf>
    <xf numFmtId="164" fontId="21" fillId="39" borderId="24" xfId="43" applyNumberFormat="1" applyFont="1" applyFill="1" applyBorder="1" applyAlignment="1">
      <alignment horizontal="center" vertical="center"/>
    </xf>
    <xf numFmtId="1" fontId="19" fillId="0" borderId="13" xfId="44" applyNumberFormat="1" applyBorder="1" applyAlignment="1">
      <alignment horizontal="center" vertical="center"/>
    </xf>
    <xf numFmtId="166" fontId="0" fillId="0" borderId="0" xfId="45" applyNumberFormat="1" applyFont="1"/>
    <xf numFmtId="0" fontId="26" fillId="37" borderId="0" xfId="0" applyFont="1" applyFill="1"/>
    <xf numFmtId="0" fontId="25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164" fontId="21" fillId="39" borderId="25" xfId="43" applyNumberFormat="1" applyFont="1" applyFill="1" applyBorder="1" applyAlignment="1">
      <alignment horizontal="center" vertical="center"/>
    </xf>
    <xf numFmtId="167" fontId="19" fillId="0" borderId="13" xfId="1" applyNumberFormat="1" applyFont="1" applyBorder="1" applyAlignment="1">
      <alignment horizontal="center" vertical="center"/>
    </xf>
    <xf numFmtId="167" fontId="19" fillId="0" borderId="15" xfId="1" applyNumberFormat="1" applyFont="1" applyBorder="1" applyAlignment="1">
      <alignment horizontal="center" vertical="center"/>
    </xf>
    <xf numFmtId="164" fontId="21" fillId="40" borderId="26" xfId="43" applyNumberFormat="1" applyFont="1" applyFill="1" applyBorder="1" applyAlignment="1">
      <alignment horizontal="center" vertical="top"/>
    </xf>
    <xf numFmtId="0" fontId="0" fillId="0" borderId="0" xfId="0" applyBorder="1"/>
    <xf numFmtId="0" fontId="0" fillId="0" borderId="27" xfId="0" applyBorder="1"/>
    <xf numFmtId="1" fontId="0" fillId="0" borderId="28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0" borderId="32" xfId="0" applyNumberFormat="1" applyBorder="1" applyAlignment="1">
      <alignment horizontal="center" vertical="center"/>
    </xf>
    <xf numFmtId="1" fontId="0" fillId="0" borderId="34" xfId="0" applyNumberFormat="1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1" fontId="0" fillId="0" borderId="36" xfId="0" applyNumberFormat="1" applyBorder="1" applyAlignment="1">
      <alignment horizontal="center" vertical="center"/>
    </xf>
    <xf numFmtId="0" fontId="0" fillId="0" borderId="37" xfId="0" applyBorder="1"/>
    <xf numFmtId="1" fontId="0" fillId="0" borderId="38" xfId="0" applyNumberFormat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0" fillId="0" borderId="40" xfId="0" applyNumberForma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" fontId="0" fillId="0" borderId="42" xfId="0" applyNumberFormat="1" applyBorder="1" applyAlignment="1">
      <alignment horizontal="center" vertical="center"/>
    </xf>
    <xf numFmtId="1" fontId="0" fillId="0" borderId="43" xfId="0" applyNumberFormat="1" applyBorder="1" applyAlignment="1">
      <alignment horizontal="center" vertical="center"/>
    </xf>
    <xf numFmtId="0" fontId="0" fillId="0" borderId="44" xfId="0" applyBorder="1"/>
    <xf numFmtId="0" fontId="22" fillId="37" borderId="0" xfId="0" applyFont="1" applyFill="1" applyAlignment="1">
      <alignment horizontal="center" vertical="center"/>
    </xf>
    <xf numFmtId="0" fontId="27" fillId="37" borderId="0" xfId="43" applyFont="1" applyFill="1" applyAlignment="1">
      <alignment horizontal="center" vertical="center"/>
    </xf>
    <xf numFmtId="0" fontId="22" fillId="37" borderId="0" xfId="43" applyFont="1" applyFill="1" applyAlignment="1">
      <alignment horizontal="center" vertical="center"/>
    </xf>
    <xf numFmtId="0" fontId="17" fillId="37" borderId="24" xfId="0" applyFont="1" applyFill="1" applyBorder="1" applyAlignment="1">
      <alignment horizontal="center"/>
    </xf>
  </cellXfs>
  <cellStyles count="46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45" builtinId="3"/>
    <cellStyle name="Neutral" xfId="9" builtinId="28" customBuiltin="1"/>
    <cellStyle name="Normal" xfId="0" builtinId="0"/>
    <cellStyle name="Normal 2" xfId="43" xr:uid="{A11C3D6F-B4C6-475B-BC15-4FD74F4D7C90}"/>
    <cellStyle name="Normal 3" xfId="44" xr:uid="{B41EF2A0-6C50-4E64-BDF6-72CC159B9D33}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_-* #,##0_-;\-* #,##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_-* #,##0_-;\-* #,##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_-* #,##0_-;\-* #,##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D653"/>
      <color rgb="FFE0C1FF"/>
      <color rgb="FF99FFCC"/>
      <color rgb="FFFF99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Tasa de Crecimiento (r)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157233830828384"/>
          <c:y val="0.19223003055573004"/>
          <c:w val="0.85667737790331278"/>
          <c:h val="0.48272467744719755"/>
        </c:manualLayout>
      </c:layout>
      <c:lineChart>
        <c:grouping val="standard"/>
        <c:varyColors val="0"/>
        <c:ser>
          <c:idx val="0"/>
          <c:order val="0"/>
          <c:tx>
            <c:strRef>
              <c:f>'2010 y 2020'!$H$5</c:f>
              <c:strCache>
                <c:ptCount val="1"/>
                <c:pt idx="0">
                  <c:v>Hombre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'2010 y 2020'!$A$5:$A$22</c:f>
              <c:strCache>
                <c:ptCount val="18"/>
                <c:pt idx="0">
                  <c:v>De 0 a 4 años</c:v>
                </c:pt>
                <c:pt idx="1">
                  <c:v>De 5 a 9 años</c:v>
                </c:pt>
                <c:pt idx="2">
                  <c:v>De 10 a 14 años</c:v>
                </c:pt>
                <c:pt idx="3">
                  <c:v>De 15 a 19 años</c:v>
                </c:pt>
                <c:pt idx="4">
                  <c:v>De 20 a 24 años</c:v>
                </c:pt>
                <c:pt idx="5">
                  <c:v>De 25 a 29 años</c:v>
                </c:pt>
                <c:pt idx="6">
                  <c:v>De 30 a 34 años</c:v>
                </c:pt>
                <c:pt idx="7">
                  <c:v>De 35 a 39 años</c:v>
                </c:pt>
                <c:pt idx="8">
                  <c:v>De 40 a 44 años</c:v>
                </c:pt>
                <c:pt idx="9">
                  <c:v>De 45 a 49 años</c:v>
                </c:pt>
                <c:pt idx="10">
                  <c:v>De 50 a 54 años</c:v>
                </c:pt>
                <c:pt idx="11">
                  <c:v>De 55 a 59 años</c:v>
                </c:pt>
                <c:pt idx="12">
                  <c:v>De 60 a 64 años</c:v>
                </c:pt>
                <c:pt idx="13">
                  <c:v>De 65 a 69 años</c:v>
                </c:pt>
                <c:pt idx="14">
                  <c:v>De 70 a 74 años</c:v>
                </c:pt>
                <c:pt idx="15">
                  <c:v>De 75 a 79 años</c:v>
                </c:pt>
                <c:pt idx="16">
                  <c:v>De 80 a 84 años</c:v>
                </c:pt>
                <c:pt idx="17">
                  <c:v>85 y más años</c:v>
                </c:pt>
              </c:strCache>
            </c:strRef>
          </c:cat>
          <c:val>
            <c:numRef>
              <c:f>'2010 y 2020'!$H$6:$H$23</c:f>
              <c:numCache>
                <c:formatCode>0.000%</c:formatCode>
                <c:ptCount val="18"/>
                <c:pt idx="0">
                  <c:v>2.3941023601743177E-4</c:v>
                </c:pt>
                <c:pt idx="1">
                  <c:v>-3.9691776260569649E-3</c:v>
                </c:pt>
                <c:pt idx="2">
                  <c:v>6.5691919185963745E-5</c:v>
                </c:pt>
                <c:pt idx="3">
                  <c:v>2.2799553183432187E-3</c:v>
                </c:pt>
                <c:pt idx="4">
                  <c:v>1.50620535408188E-2</c:v>
                </c:pt>
                <c:pt idx="5">
                  <c:v>2.1801440584644588E-2</c:v>
                </c:pt>
                <c:pt idx="6">
                  <c:v>1.3977211128425929E-2</c:v>
                </c:pt>
                <c:pt idx="7">
                  <c:v>1.5499280296344717E-2</c:v>
                </c:pt>
                <c:pt idx="8">
                  <c:v>2.6862300927885607E-2</c:v>
                </c:pt>
                <c:pt idx="9">
                  <c:v>3.2869012590302442E-2</c:v>
                </c:pt>
                <c:pt idx="10">
                  <c:v>3.348879607049346E-2</c:v>
                </c:pt>
                <c:pt idx="11">
                  <c:v>3.4576459718673624E-2</c:v>
                </c:pt>
                <c:pt idx="12">
                  <c:v>4.2347087918432162E-2</c:v>
                </c:pt>
                <c:pt idx="13">
                  <c:v>4.2590133350506668E-2</c:v>
                </c:pt>
                <c:pt idx="14">
                  <c:v>2.9705032494057815E-2</c:v>
                </c:pt>
                <c:pt idx="15">
                  <c:v>3.3179517525981965E-2</c:v>
                </c:pt>
                <c:pt idx="16">
                  <c:v>3.2711488251638242E-2</c:v>
                </c:pt>
                <c:pt idx="17">
                  <c:v>3.4969873982229796E-2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CC-4733-8F46-12638DA401DF}"/>
            </c:ext>
          </c:extLst>
        </c:ser>
        <c:ser>
          <c:idx val="1"/>
          <c:order val="1"/>
          <c:tx>
            <c:strRef>
              <c:f>'2010 y 2020'!$I$5</c:f>
              <c:strCache>
                <c:ptCount val="1"/>
                <c:pt idx="0">
                  <c:v>Mujer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'2010 y 2020'!$A$5:$A$22</c:f>
              <c:strCache>
                <c:ptCount val="18"/>
                <c:pt idx="0">
                  <c:v>De 0 a 4 años</c:v>
                </c:pt>
                <c:pt idx="1">
                  <c:v>De 5 a 9 años</c:v>
                </c:pt>
                <c:pt idx="2">
                  <c:v>De 10 a 14 años</c:v>
                </c:pt>
                <c:pt idx="3">
                  <c:v>De 15 a 19 años</c:v>
                </c:pt>
                <c:pt idx="4">
                  <c:v>De 20 a 24 años</c:v>
                </c:pt>
                <c:pt idx="5">
                  <c:v>De 25 a 29 años</c:v>
                </c:pt>
                <c:pt idx="6">
                  <c:v>De 30 a 34 años</c:v>
                </c:pt>
                <c:pt idx="7">
                  <c:v>De 35 a 39 años</c:v>
                </c:pt>
                <c:pt idx="8">
                  <c:v>De 40 a 44 años</c:v>
                </c:pt>
                <c:pt idx="9">
                  <c:v>De 45 a 49 años</c:v>
                </c:pt>
                <c:pt idx="10">
                  <c:v>De 50 a 54 años</c:v>
                </c:pt>
                <c:pt idx="11">
                  <c:v>De 55 a 59 años</c:v>
                </c:pt>
                <c:pt idx="12">
                  <c:v>De 60 a 64 años</c:v>
                </c:pt>
                <c:pt idx="13">
                  <c:v>De 65 a 69 años</c:v>
                </c:pt>
                <c:pt idx="14">
                  <c:v>De 70 a 74 años</c:v>
                </c:pt>
                <c:pt idx="15">
                  <c:v>De 75 a 79 años</c:v>
                </c:pt>
                <c:pt idx="16">
                  <c:v>De 80 a 84 años</c:v>
                </c:pt>
                <c:pt idx="17">
                  <c:v>85 y más años</c:v>
                </c:pt>
              </c:strCache>
            </c:strRef>
          </c:cat>
          <c:val>
            <c:numRef>
              <c:f>'2010 y 2020'!$I$6:$I$23</c:f>
              <c:numCache>
                <c:formatCode>0.000%</c:formatCode>
                <c:ptCount val="18"/>
                <c:pt idx="0">
                  <c:v>1.289982048905527E-3</c:v>
                </c:pt>
                <c:pt idx="1">
                  <c:v>-3.3680115628943008E-3</c:v>
                </c:pt>
                <c:pt idx="2">
                  <c:v>-5.722321266677673E-4</c:v>
                </c:pt>
                <c:pt idx="3">
                  <c:v>-1.2246047481038276E-3</c:v>
                </c:pt>
                <c:pt idx="4">
                  <c:v>7.5826165218950536E-3</c:v>
                </c:pt>
                <c:pt idx="5">
                  <c:v>1.5354030330023518E-2</c:v>
                </c:pt>
                <c:pt idx="6">
                  <c:v>1.1557691364813253E-2</c:v>
                </c:pt>
                <c:pt idx="7">
                  <c:v>1.4838521712563797E-2</c:v>
                </c:pt>
                <c:pt idx="8">
                  <c:v>2.5999185347660006E-2</c:v>
                </c:pt>
                <c:pt idx="9">
                  <c:v>3.1760937501363794E-2</c:v>
                </c:pt>
                <c:pt idx="10">
                  <c:v>3.4513535382601115E-2</c:v>
                </c:pt>
                <c:pt idx="11">
                  <c:v>3.7685082223275511E-2</c:v>
                </c:pt>
                <c:pt idx="12">
                  <c:v>4.3796544561948994E-2</c:v>
                </c:pt>
                <c:pt idx="13">
                  <c:v>4.4852947889193924E-2</c:v>
                </c:pt>
                <c:pt idx="14">
                  <c:v>2.8515686372661931E-2</c:v>
                </c:pt>
                <c:pt idx="15">
                  <c:v>3.0837892799107255E-2</c:v>
                </c:pt>
                <c:pt idx="16">
                  <c:v>3.4764928850887791E-2</c:v>
                </c:pt>
                <c:pt idx="17">
                  <c:v>3.6625521101216918E-2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CC-4733-8F46-12638DA40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590607"/>
        <c:axId val="460591567"/>
      </c:lineChart>
      <c:catAx>
        <c:axId val="46059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0591567"/>
        <c:crosses val="autoZero"/>
        <c:auto val="1"/>
        <c:lblAlgn val="ctr"/>
        <c:lblOffset val="1000"/>
        <c:noMultiLvlLbl val="0"/>
      </c:catAx>
      <c:valAx>
        <c:axId val="46059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059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720479</xdr:colOff>
      <xdr:row>3</xdr:row>
      <xdr:rowOff>101601</xdr:rowOff>
    </xdr:from>
    <xdr:to>
      <xdr:col>20</xdr:col>
      <xdr:colOff>575735</xdr:colOff>
      <xdr:row>23</xdr:row>
      <xdr:rowOff>152401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C454B09-A283-82D8-E0B7-4A02B15A0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CF864A-E9A0-4050-9201-FA703E3158B1}" name="Tabla1" displayName="Tabla1" ref="B7:E26" totalsRowShown="0" dataDxfId="4" dataCellStyle="Normal 3">
  <tableColumns count="4">
    <tableColumn id="1" xr3:uid="{997B7EBA-75B1-4DB7-8FD8-C8A2180CD603}" name="Total" dataDxfId="3" dataCellStyle="Normal 3"/>
    <tableColumn id="2" xr3:uid="{69014F87-654B-475B-8A18-1AEE78464B9C}" name="2769855" dataDxfId="2" dataCellStyle="Millares"/>
    <tableColumn id="3" xr3:uid="{EF66E5F5-145E-433E-A6A2-0A357A899441}" name="3009974" dataDxfId="1" dataCellStyle="Millares"/>
    <tableColumn id="4" xr3:uid="{B4B9B0DC-5CEA-4092-A525-8D9A0EEB5421}" name="5779829" dataDxfId="0" dataCellStyle="Millar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B051-FCA1-4433-AC6A-30E8D1B8F1E8}">
  <dimension ref="B1:I31"/>
  <sheetViews>
    <sheetView showGridLines="0" zoomScale="90" zoomScaleNormal="90" workbookViewId="0">
      <selection activeCell="B6" sqref="B6:E26"/>
    </sheetView>
  </sheetViews>
  <sheetFormatPr baseColWidth="10" defaultColWidth="8.8984375" defaultRowHeight="14.4"/>
  <cols>
    <col min="1" max="1" width="2.3984375" style="12" customWidth="1"/>
    <col min="2" max="2" width="15.796875" style="12" customWidth="1"/>
    <col min="3" max="4" width="16.19921875" style="13" customWidth="1"/>
    <col min="5" max="5" width="17.19921875" style="13" customWidth="1"/>
    <col min="6" max="6" width="5.59765625" style="12" customWidth="1"/>
    <col min="7" max="9" width="9.3984375" style="12" bestFit="1" customWidth="1"/>
    <col min="10" max="16384" width="8.8984375" style="12"/>
  </cols>
  <sheetData>
    <row r="1" spans="2:9" ht="6.6" customHeight="1"/>
    <row r="2" spans="2:9" ht="18">
      <c r="B2" s="72" t="s">
        <v>39</v>
      </c>
      <c r="C2" s="72"/>
      <c r="D2" s="72"/>
      <c r="E2" s="72"/>
    </row>
    <row r="3" spans="2:9">
      <c r="B3" s="12" t="s">
        <v>0</v>
      </c>
      <c r="F3" s="14"/>
    </row>
    <row r="4" spans="2:9">
      <c r="B4" s="71" t="s">
        <v>23</v>
      </c>
      <c r="C4" s="71"/>
      <c r="D4" s="71"/>
      <c r="E4" s="71"/>
      <c r="F4" s="14"/>
      <c r="G4" s="73" t="s">
        <v>28</v>
      </c>
      <c r="H4" s="73"/>
      <c r="I4" s="73"/>
    </row>
    <row r="5" spans="2:9" ht="8.4" customHeight="1">
      <c r="B5" s="12" t="s">
        <v>0</v>
      </c>
      <c r="C5" s="12"/>
      <c r="D5" s="12"/>
      <c r="E5" s="12"/>
      <c r="F5" s="14"/>
    </row>
    <row r="6" spans="2:9">
      <c r="B6" s="3" t="s">
        <v>0</v>
      </c>
      <c r="C6" s="19" t="s">
        <v>24</v>
      </c>
      <c r="D6" s="19" t="s">
        <v>25</v>
      </c>
      <c r="E6" s="19" t="s">
        <v>1</v>
      </c>
      <c r="G6" s="19" t="s">
        <v>2</v>
      </c>
      <c r="H6" s="19" t="s">
        <v>3</v>
      </c>
      <c r="I6" s="19" t="s">
        <v>1</v>
      </c>
    </row>
    <row r="7" spans="2:9">
      <c r="B7" s="20" t="s">
        <v>1</v>
      </c>
      <c r="C7" s="11" t="s">
        <v>34</v>
      </c>
      <c r="D7" s="10" t="s">
        <v>35</v>
      </c>
      <c r="E7" s="9" t="s">
        <v>33</v>
      </c>
      <c r="G7" s="23">
        <f>+SUBTOTAL(9,G8:G25)</f>
        <v>2769854.9999999995</v>
      </c>
      <c r="H7" s="24">
        <f>+SUBTOTAL(9,H8:H25)</f>
        <v>3009974.0000000005</v>
      </c>
      <c r="I7" s="25">
        <f>+SUBTOTAL(9,I8:I25)</f>
        <v>5779829.0000000009</v>
      </c>
    </row>
    <row r="8" spans="2:9">
      <c r="B8" s="3" t="s">
        <v>4</v>
      </c>
      <c r="C8" s="21">
        <v>291584</v>
      </c>
      <c r="D8" s="21">
        <v>282929</v>
      </c>
      <c r="E8" s="21">
        <v>574513</v>
      </c>
      <c r="G8" s="32">
        <f t="shared" ref="G8:G25" si="0">C8+(C8/SUM(C$8:C$25)*C$26)</f>
        <v>294558.02197681961</v>
      </c>
      <c r="H8" s="33">
        <f t="shared" ref="H8:H25" si="1">D8+(D8/SUM(D$8:D$25)*D$26)</f>
        <v>285583.04770722747</v>
      </c>
      <c r="I8" s="34">
        <f t="shared" ref="I8:I25" si="2">E8+(E8/SUM(E$8:E$25)*E$26)</f>
        <v>580127.65763790009</v>
      </c>
    </row>
    <row r="9" spans="2:9">
      <c r="B9" s="3" t="s">
        <v>5</v>
      </c>
      <c r="C9" s="21">
        <v>314122</v>
      </c>
      <c r="D9" s="21">
        <v>306264</v>
      </c>
      <c r="E9" s="21">
        <v>620386</v>
      </c>
      <c r="G9" s="35">
        <f t="shared" si="0"/>
        <v>317325.89915565512</v>
      </c>
      <c r="H9" s="27">
        <f t="shared" si="1"/>
        <v>309136.94433234597</v>
      </c>
      <c r="I9" s="36">
        <f t="shared" si="2"/>
        <v>626448.96984288655</v>
      </c>
    </row>
    <row r="10" spans="2:9">
      <c r="B10" s="3" t="s">
        <v>6</v>
      </c>
      <c r="C10" s="21">
        <v>305657</v>
      </c>
      <c r="D10" s="21">
        <v>299188</v>
      </c>
      <c r="E10" s="21">
        <v>604845</v>
      </c>
      <c r="G10" s="35">
        <f t="shared" si="0"/>
        <v>308774.56006971834</v>
      </c>
      <c r="H10" s="27">
        <f t="shared" si="1"/>
        <v>301994.56710846175</v>
      </c>
      <c r="I10" s="36">
        <f t="shared" si="2"/>
        <v>610756.0892164245</v>
      </c>
    </row>
    <row r="11" spans="2:9">
      <c r="B11" s="3" t="s">
        <v>7</v>
      </c>
      <c r="C11" s="21">
        <v>299098</v>
      </c>
      <c r="D11" s="21">
        <v>304996</v>
      </c>
      <c r="E11" s="21">
        <v>604094</v>
      </c>
      <c r="G11" s="35">
        <f t="shared" si="0"/>
        <v>302148.6613024816</v>
      </c>
      <c r="H11" s="27">
        <f t="shared" si="1"/>
        <v>307857.04971393372</v>
      </c>
      <c r="I11" s="36">
        <f t="shared" si="2"/>
        <v>609997.7497691256</v>
      </c>
    </row>
    <row r="12" spans="2:9">
      <c r="B12" s="3" t="s">
        <v>8</v>
      </c>
      <c r="C12" s="21">
        <v>241187</v>
      </c>
      <c r="D12" s="21">
        <v>270498</v>
      </c>
      <c r="E12" s="21">
        <v>511685</v>
      </c>
      <c r="G12" s="35">
        <f t="shared" si="0"/>
        <v>243646.99587948309</v>
      </c>
      <c r="H12" s="27">
        <f t="shared" si="1"/>
        <v>273035.43729596335</v>
      </c>
      <c r="I12" s="36">
        <f t="shared" si="2"/>
        <v>516685.64592698321</v>
      </c>
    </row>
    <row r="13" spans="2:9">
      <c r="B13" s="3" t="s">
        <v>9</v>
      </c>
      <c r="C13" s="21">
        <v>203626</v>
      </c>
      <c r="D13" s="21">
        <v>237932</v>
      </c>
      <c r="E13" s="21">
        <v>441558</v>
      </c>
      <c r="G13" s="35">
        <f t="shared" si="0"/>
        <v>205702.89104701174</v>
      </c>
      <c r="H13" s="27">
        <f t="shared" si="1"/>
        <v>240163.94822402811</v>
      </c>
      <c r="I13" s="36">
        <f t="shared" si="2"/>
        <v>445873.30182480795</v>
      </c>
    </row>
    <row r="14" spans="2:9">
      <c r="B14" s="3" t="s">
        <v>10</v>
      </c>
      <c r="C14" s="21">
        <v>192949</v>
      </c>
      <c r="D14" s="21">
        <v>227543</v>
      </c>
      <c r="E14" s="21">
        <v>420492</v>
      </c>
      <c r="G14" s="35">
        <f t="shared" si="0"/>
        <v>194916.9905838639</v>
      </c>
      <c r="H14" s="27">
        <f t="shared" si="1"/>
        <v>229677.49302632696</v>
      </c>
      <c r="I14" s="36">
        <f t="shared" si="2"/>
        <v>424601.42593026772</v>
      </c>
    </row>
    <row r="15" spans="2:9">
      <c r="B15" s="3" t="s">
        <v>11</v>
      </c>
      <c r="C15" s="21">
        <v>182690</v>
      </c>
      <c r="D15" s="21">
        <v>212271</v>
      </c>
      <c r="E15" s="21">
        <v>394961</v>
      </c>
      <c r="G15" s="35">
        <f t="shared" si="0"/>
        <v>184553.3535274404</v>
      </c>
      <c r="H15" s="27">
        <f t="shared" si="1"/>
        <v>214262.23229100191</v>
      </c>
      <c r="I15" s="36">
        <f t="shared" si="2"/>
        <v>398820.91404080094</v>
      </c>
    </row>
    <row r="16" spans="2:9">
      <c r="B16" s="3" t="s">
        <v>12</v>
      </c>
      <c r="C16" s="21">
        <v>151228</v>
      </c>
      <c r="D16" s="21">
        <v>177328</v>
      </c>
      <c r="E16" s="21">
        <v>328556</v>
      </c>
      <c r="G16" s="35">
        <f t="shared" si="0"/>
        <v>152770.45567490149</v>
      </c>
      <c r="H16" s="27">
        <f t="shared" si="1"/>
        <v>178991.44549985061</v>
      </c>
      <c r="I16" s="36">
        <f t="shared" si="2"/>
        <v>331766.94466944685</v>
      </c>
    </row>
    <row r="17" spans="2:9">
      <c r="B17" s="3" t="s">
        <v>13</v>
      </c>
      <c r="C17" s="21">
        <v>129308</v>
      </c>
      <c r="D17" s="21">
        <v>150117</v>
      </c>
      <c r="E17" s="21">
        <v>279425</v>
      </c>
      <c r="G17" s="35">
        <f t="shared" si="0"/>
        <v>130626.88181031398</v>
      </c>
      <c r="H17" s="27">
        <f t="shared" si="1"/>
        <v>151525.18961529524</v>
      </c>
      <c r="I17" s="36">
        <f t="shared" si="2"/>
        <v>282155.79235886782</v>
      </c>
    </row>
    <row r="18" spans="2:9">
      <c r="B18" s="3" t="s">
        <v>14</v>
      </c>
      <c r="C18" s="21">
        <v>110377</v>
      </c>
      <c r="D18" s="21">
        <v>129643</v>
      </c>
      <c r="E18" s="21">
        <v>240020</v>
      </c>
      <c r="G18" s="35">
        <f t="shared" si="0"/>
        <v>111502.79436366681</v>
      </c>
      <c r="H18" s="27">
        <f t="shared" si="1"/>
        <v>130859.13092651546</v>
      </c>
      <c r="I18" s="36">
        <f t="shared" si="2"/>
        <v>242365.69126590484</v>
      </c>
    </row>
    <row r="19" spans="2:9">
      <c r="B19" s="3" t="s">
        <v>15</v>
      </c>
      <c r="C19" s="21">
        <v>88207</v>
      </c>
      <c r="D19" s="21">
        <v>100712</v>
      </c>
      <c r="E19" s="21">
        <v>188919</v>
      </c>
      <c r="G19" s="35">
        <f t="shared" si="0"/>
        <v>89106.670614674775</v>
      </c>
      <c r="H19" s="27">
        <f t="shared" si="1"/>
        <v>101656.74038606962</v>
      </c>
      <c r="I19" s="36">
        <f t="shared" si="2"/>
        <v>190765.28634390249</v>
      </c>
    </row>
    <row r="20" spans="2:9">
      <c r="B20" s="3" t="s">
        <v>16</v>
      </c>
      <c r="C20" s="21">
        <v>69041</v>
      </c>
      <c r="D20" s="21">
        <v>81524</v>
      </c>
      <c r="E20" s="21">
        <v>150565</v>
      </c>
      <c r="G20" s="35">
        <f t="shared" si="0"/>
        <v>69745.186276687353</v>
      </c>
      <c r="H20" s="27">
        <f t="shared" si="1"/>
        <v>82288.745166752124</v>
      </c>
      <c r="I20" s="36">
        <f t="shared" si="2"/>
        <v>152036.45656799834</v>
      </c>
    </row>
    <row r="21" spans="2:9">
      <c r="B21" s="3" t="s">
        <v>17</v>
      </c>
      <c r="C21" s="21">
        <v>53384</v>
      </c>
      <c r="D21" s="21">
        <v>62606</v>
      </c>
      <c r="E21" s="21">
        <v>115990</v>
      </c>
      <c r="G21" s="35">
        <f t="shared" si="0"/>
        <v>53928.49211620164</v>
      </c>
      <c r="H21" s="27">
        <f t="shared" si="1"/>
        <v>63193.282713184868</v>
      </c>
      <c r="I21" s="36">
        <f t="shared" si="2"/>
        <v>117123.55857816974</v>
      </c>
    </row>
    <row r="22" spans="2:9">
      <c r="B22" s="3" t="s">
        <v>18</v>
      </c>
      <c r="C22" s="21">
        <v>43408</v>
      </c>
      <c r="D22" s="21">
        <v>53277</v>
      </c>
      <c r="E22" s="21">
        <v>96685</v>
      </c>
      <c r="G22" s="35">
        <f t="shared" si="0"/>
        <v>43850.741528924038</v>
      </c>
      <c r="H22" s="27">
        <f t="shared" si="1"/>
        <v>53776.770966206917</v>
      </c>
      <c r="I22" s="36">
        <f t="shared" si="2"/>
        <v>97629.892759120106</v>
      </c>
    </row>
    <row r="23" spans="2:9">
      <c r="B23" s="3" t="s">
        <v>19</v>
      </c>
      <c r="C23" s="21">
        <v>30238</v>
      </c>
      <c r="D23" s="21">
        <v>36781</v>
      </c>
      <c r="E23" s="21">
        <v>67019</v>
      </c>
      <c r="G23" s="35">
        <f t="shared" si="0"/>
        <v>30546.413618494404</v>
      </c>
      <c r="H23" s="27">
        <f t="shared" si="1"/>
        <v>37126.028359480762</v>
      </c>
      <c r="I23" s="36">
        <f t="shared" si="2"/>
        <v>67673.969931462692</v>
      </c>
    </row>
    <row r="24" spans="2:9">
      <c r="B24" s="3" t="s">
        <v>20</v>
      </c>
      <c r="C24" s="21">
        <v>18969</v>
      </c>
      <c r="D24" s="21">
        <v>24398</v>
      </c>
      <c r="E24" s="21">
        <v>43367</v>
      </c>
      <c r="G24" s="35">
        <f t="shared" si="0"/>
        <v>19162.475029076668</v>
      </c>
      <c r="H24" s="27">
        <f t="shared" si="1"/>
        <v>24626.868217683361</v>
      </c>
      <c r="I24" s="36">
        <f t="shared" si="2"/>
        <v>43790.821319592098</v>
      </c>
    </row>
    <row r="25" spans="2:9">
      <c r="B25" s="3" t="s">
        <v>21</v>
      </c>
      <c r="C25" s="21">
        <v>16816</v>
      </c>
      <c r="D25" s="21">
        <v>23994</v>
      </c>
      <c r="E25" s="21">
        <v>40810</v>
      </c>
      <c r="G25" s="37">
        <f t="shared" si="0"/>
        <v>16987.515424585021</v>
      </c>
      <c r="H25" s="38">
        <f t="shared" si="1"/>
        <v>24219.078449671881</v>
      </c>
      <c r="I25" s="39">
        <f t="shared" si="2"/>
        <v>41208.832016338536</v>
      </c>
    </row>
    <row r="26" spans="2:9">
      <c r="B26" s="8" t="s">
        <v>22</v>
      </c>
      <c r="C26" s="21">
        <v>27966</v>
      </c>
      <c r="D26" s="21">
        <v>27973</v>
      </c>
      <c r="E26" s="21">
        <v>55939</v>
      </c>
    </row>
    <row r="27" spans="2:9">
      <c r="F27" s="14"/>
    </row>
    <row r="28" spans="2:9">
      <c r="B28" s="41" t="s">
        <v>27</v>
      </c>
      <c r="F28" s="14"/>
    </row>
    <row r="29" spans="2:9">
      <c r="F29" s="14"/>
    </row>
    <row r="30" spans="2:9">
      <c r="F30" s="14"/>
    </row>
    <row r="31" spans="2:9">
      <c r="F31" s="14"/>
    </row>
  </sheetData>
  <mergeCells count="3">
    <mergeCell ref="B4:E4"/>
    <mergeCell ref="B2:E2"/>
    <mergeCell ref="G4:I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51987-D687-485C-B615-D80A25368794}">
  <dimension ref="B1:I31"/>
  <sheetViews>
    <sheetView showGridLines="0" zoomScale="90" zoomScaleNormal="90" workbookViewId="0"/>
  </sheetViews>
  <sheetFormatPr baseColWidth="10" defaultColWidth="15.296875" defaultRowHeight="13.8"/>
  <cols>
    <col min="1" max="1" width="1.8984375" style="5" customWidth="1"/>
    <col min="2" max="2" width="15.796875" style="5" customWidth="1"/>
    <col min="3" max="5" width="16.69921875" style="5" customWidth="1"/>
    <col min="6" max="6" width="5.3984375" style="5" customWidth="1"/>
    <col min="7" max="9" width="9.3984375" style="5" bestFit="1" customWidth="1"/>
    <col min="10" max="16384" width="15.296875" style="5"/>
  </cols>
  <sheetData>
    <row r="1" spans="2:9" ht="4.8" customHeight="1"/>
    <row r="2" spans="2:9" ht="18">
      <c r="B2" s="72" t="s">
        <v>39</v>
      </c>
      <c r="C2" s="72"/>
      <c r="D2" s="72"/>
      <c r="E2" s="72"/>
      <c r="F2" s="4"/>
      <c r="G2" s="4"/>
    </row>
    <row r="3" spans="2:9" ht="14.4">
      <c r="B3" s="6" t="s">
        <v>0</v>
      </c>
      <c r="C3" s="2"/>
      <c r="D3" s="2"/>
      <c r="E3" s="2"/>
      <c r="F3" s="7"/>
    </row>
    <row r="4" spans="2:9" ht="14.4" customHeight="1">
      <c r="B4" s="73" t="s">
        <v>23</v>
      </c>
      <c r="C4" s="73"/>
      <c r="D4" s="73"/>
      <c r="E4" s="73"/>
      <c r="F4" s="4"/>
      <c r="G4" s="73" t="s">
        <v>28</v>
      </c>
      <c r="H4" s="73"/>
      <c r="I4" s="73"/>
    </row>
    <row r="5" spans="2:9" ht="9" customHeight="1">
      <c r="B5" s="6" t="s">
        <v>0</v>
      </c>
    </row>
    <row r="6" spans="2:9" ht="14.4">
      <c r="B6" s="6" t="s">
        <v>0</v>
      </c>
      <c r="C6" s="19" t="s">
        <v>24</v>
      </c>
      <c r="D6" s="19" t="s">
        <v>25</v>
      </c>
      <c r="E6" s="19" t="s">
        <v>1</v>
      </c>
      <c r="G6" s="19" t="s">
        <v>2</v>
      </c>
      <c r="H6" s="19" t="s">
        <v>3</v>
      </c>
      <c r="I6" s="19" t="s">
        <v>1</v>
      </c>
    </row>
    <row r="7" spans="2:9" ht="14.4">
      <c r="B7" s="22" t="s">
        <v>1</v>
      </c>
      <c r="C7" s="23">
        <f>+G7</f>
        <v>3160115</v>
      </c>
      <c r="D7" s="24">
        <f t="shared" ref="D7:E7" si="0">+H7</f>
        <v>3423163.0000000005</v>
      </c>
      <c r="E7" s="25">
        <f t="shared" si="0"/>
        <v>6583278</v>
      </c>
      <c r="G7" s="23">
        <f>+SUBTOTAL(9,G8:G25)</f>
        <v>3160115</v>
      </c>
      <c r="H7" s="24">
        <f t="shared" ref="H7:I7" si="1">+SUBTOTAL(9,H8:H25)</f>
        <v>3423163.0000000005</v>
      </c>
      <c r="I7" s="25">
        <f t="shared" si="1"/>
        <v>6583278</v>
      </c>
    </row>
    <row r="8" spans="2:9" ht="14.4">
      <c r="B8" s="26" t="s">
        <v>4</v>
      </c>
      <c r="C8" s="27">
        <v>292266</v>
      </c>
      <c r="D8" s="27">
        <v>286513</v>
      </c>
      <c r="E8" s="28">
        <v>578779</v>
      </c>
      <c r="G8" s="32">
        <f t="shared" ref="G8:G25" si="2">C8+(C8/SUM(C$8:C$25)*C$26)</f>
        <v>292527.22841687483</v>
      </c>
      <c r="H8" s="33">
        <f t="shared" ref="H8:H25" si="3">D8+(D8/SUM(D$8:D$25)*D$26)</f>
        <v>286751.6551459895</v>
      </c>
      <c r="I8" s="34">
        <f t="shared" ref="I8:I25" si="4">E8+(E8/SUM(E$8:E$25)*E$26)</f>
        <v>579278.00453295547</v>
      </c>
    </row>
    <row r="9" spans="2:9" ht="14.4">
      <c r="B9" s="26" t="s">
        <v>5</v>
      </c>
      <c r="C9" s="27">
        <v>302188</v>
      </c>
      <c r="D9" s="27">
        <v>296362</v>
      </c>
      <c r="E9" s="28">
        <v>598550</v>
      </c>
      <c r="G9" s="35">
        <f t="shared" si="2"/>
        <v>302458.09673666651</v>
      </c>
      <c r="H9" s="27">
        <f t="shared" si="3"/>
        <v>296608.85901294445</v>
      </c>
      <c r="I9" s="36">
        <f t="shared" si="4"/>
        <v>599066.05044965446</v>
      </c>
    </row>
    <row r="10" spans="2:9" ht="14.4">
      <c r="B10" s="26" t="s">
        <v>6</v>
      </c>
      <c r="C10" s="27">
        <v>305853</v>
      </c>
      <c r="D10" s="27">
        <v>297522</v>
      </c>
      <c r="E10" s="28">
        <v>603375</v>
      </c>
      <c r="G10" s="35">
        <f t="shared" si="2"/>
        <v>306126.37252703501</v>
      </c>
      <c r="H10" s="27">
        <f t="shared" si="3"/>
        <v>297769.82525171665</v>
      </c>
      <c r="I10" s="36">
        <f t="shared" si="4"/>
        <v>603895.21040858782</v>
      </c>
    </row>
    <row r="11" spans="2:9" ht="14.4">
      <c r="B11" s="26" t="s">
        <v>7</v>
      </c>
      <c r="C11" s="27">
        <v>305827</v>
      </c>
      <c r="D11" s="27">
        <v>301373</v>
      </c>
      <c r="E11" s="28">
        <v>607200</v>
      </c>
      <c r="G11" s="35">
        <f t="shared" si="2"/>
        <v>306100.34928814019</v>
      </c>
      <c r="H11" s="27">
        <f t="shared" si="3"/>
        <v>301624.03299784759</v>
      </c>
      <c r="I11" s="36">
        <f t="shared" si="4"/>
        <v>607723.50819986663</v>
      </c>
    </row>
    <row r="12" spans="2:9" ht="14.4">
      <c r="B12" s="26" t="s">
        <v>8</v>
      </c>
      <c r="C12" s="27">
        <v>279374</v>
      </c>
      <c r="D12" s="27">
        <v>291272</v>
      </c>
      <c r="E12" s="28">
        <v>570646</v>
      </c>
      <c r="G12" s="35">
        <f t="shared" si="2"/>
        <v>279623.70550024975</v>
      </c>
      <c r="H12" s="27">
        <f t="shared" si="3"/>
        <v>291514.61922384903</v>
      </c>
      <c r="I12" s="36">
        <f t="shared" si="4"/>
        <v>571137.99252342072</v>
      </c>
    </row>
    <row r="13" spans="2:9" ht="14.4">
      <c r="B13" s="26" t="s">
        <v>9</v>
      </c>
      <c r="C13" s="27">
        <v>251899</v>
      </c>
      <c r="D13" s="27">
        <v>276390</v>
      </c>
      <c r="E13" s="28">
        <v>528289</v>
      </c>
      <c r="G13" s="35">
        <f t="shared" si="2"/>
        <v>252124.14824503142</v>
      </c>
      <c r="H13" s="27">
        <f t="shared" si="3"/>
        <v>276620.22304677288</v>
      </c>
      <c r="I13" s="36">
        <f t="shared" si="4"/>
        <v>528744.47368807532</v>
      </c>
    </row>
    <row r="14" spans="2:9" ht="14.4">
      <c r="B14" s="26" t="s">
        <v>10</v>
      </c>
      <c r="C14" s="27">
        <v>221145</v>
      </c>
      <c r="D14" s="27">
        <v>254709</v>
      </c>
      <c r="E14" s="28">
        <v>475854</v>
      </c>
      <c r="G14" s="35">
        <f t="shared" si="2"/>
        <v>221342.66020765257</v>
      </c>
      <c r="H14" s="27">
        <f t="shared" si="3"/>
        <v>254921.16354434125</v>
      </c>
      <c r="I14" s="36">
        <f t="shared" si="4"/>
        <v>476264.2659271069</v>
      </c>
    </row>
    <row r="15" spans="2:9" ht="14.4">
      <c r="B15" s="26" t="s">
        <v>11</v>
      </c>
      <c r="C15" s="27">
        <v>212520</v>
      </c>
      <c r="D15" s="27">
        <v>245344</v>
      </c>
      <c r="E15" s="28">
        <v>457864</v>
      </c>
      <c r="G15" s="35">
        <f t="shared" si="2"/>
        <v>212709.95115119187</v>
      </c>
      <c r="H15" s="27">
        <f t="shared" si="3"/>
        <v>245548.36283218442</v>
      </c>
      <c r="I15" s="36">
        <f t="shared" si="4"/>
        <v>458258.75553100085</v>
      </c>
    </row>
    <row r="16" spans="2:9" ht="14.4">
      <c r="B16" s="26" t="s">
        <v>12</v>
      </c>
      <c r="C16" s="27">
        <v>196550</v>
      </c>
      <c r="D16" s="27">
        <v>228539</v>
      </c>
      <c r="E16" s="28">
        <v>425089</v>
      </c>
      <c r="G16" s="35">
        <f t="shared" si="2"/>
        <v>196725.6771069394</v>
      </c>
      <c r="H16" s="27">
        <f t="shared" si="3"/>
        <v>228729.36486445396</v>
      </c>
      <c r="I16" s="36">
        <f t="shared" si="4"/>
        <v>425455.49798612169</v>
      </c>
    </row>
    <row r="17" spans="2:9" ht="14.4">
      <c r="B17" s="26" t="s">
        <v>13</v>
      </c>
      <c r="C17" s="27">
        <v>178206</v>
      </c>
      <c r="D17" s="27">
        <v>204659</v>
      </c>
      <c r="E17" s="28">
        <v>382865</v>
      </c>
      <c r="G17" s="35">
        <f t="shared" si="2"/>
        <v>178365.28117282747</v>
      </c>
      <c r="H17" s="27">
        <f t="shared" si="3"/>
        <v>204829.47367317739</v>
      </c>
      <c r="I17" s="36">
        <f t="shared" si="4"/>
        <v>383195.09381907433</v>
      </c>
    </row>
    <row r="18" spans="2:9" ht="14.4">
      <c r="B18" s="26" t="s">
        <v>14</v>
      </c>
      <c r="C18" s="27">
        <v>153039</v>
      </c>
      <c r="D18" s="27">
        <v>181558</v>
      </c>
      <c r="E18" s="28">
        <v>334597</v>
      </c>
      <c r="G18" s="35">
        <f t="shared" si="2"/>
        <v>153175.78681642786</v>
      </c>
      <c r="H18" s="27">
        <f t="shared" si="3"/>
        <v>181709.23136121422</v>
      </c>
      <c r="I18" s="36">
        <f t="shared" si="4"/>
        <v>334885.47871072259</v>
      </c>
    </row>
    <row r="19" spans="2:9" ht="14.4">
      <c r="B19" s="26" t="s">
        <v>15</v>
      </c>
      <c r="C19" s="27">
        <v>123605</v>
      </c>
      <c r="D19" s="27">
        <v>145475</v>
      </c>
      <c r="E19" s="28">
        <v>269080</v>
      </c>
      <c r="G19" s="35">
        <f t="shared" si="2"/>
        <v>123715.47859986387</v>
      </c>
      <c r="H19" s="27">
        <f t="shared" si="3"/>
        <v>145596.17550464664</v>
      </c>
      <c r="I19" s="36">
        <f t="shared" si="4"/>
        <v>269311.99207249685</v>
      </c>
    </row>
    <row r="20" spans="2:9" ht="14.4">
      <c r="B20" s="26" t="s">
        <v>16</v>
      </c>
      <c r="C20" s="27">
        <v>104369</v>
      </c>
      <c r="D20" s="27">
        <v>124995</v>
      </c>
      <c r="E20" s="28">
        <v>229364</v>
      </c>
      <c r="G20" s="35">
        <f t="shared" si="2"/>
        <v>104462.28539289828</v>
      </c>
      <c r="H20" s="27">
        <f t="shared" si="3"/>
        <v>125099.11639253005</v>
      </c>
      <c r="I20" s="36">
        <f t="shared" si="4"/>
        <v>229561.75022192721</v>
      </c>
    </row>
    <row r="21" spans="2:9" ht="14.4">
      <c r="B21" s="26" t="s">
        <v>17</v>
      </c>
      <c r="C21" s="27">
        <v>80892</v>
      </c>
      <c r="D21" s="27">
        <v>96984</v>
      </c>
      <c r="E21" s="28">
        <v>177876</v>
      </c>
      <c r="G21" s="35">
        <f t="shared" si="2"/>
        <v>80964.301564663154</v>
      </c>
      <c r="H21" s="27">
        <f t="shared" si="3"/>
        <v>97064.784225074065</v>
      </c>
      <c r="I21" s="36">
        <f t="shared" si="4"/>
        <v>178029.35893372772</v>
      </c>
    </row>
    <row r="22" spans="2:9" ht="14.4">
      <c r="B22" s="26" t="s">
        <v>18</v>
      </c>
      <c r="C22" s="27">
        <v>58004</v>
      </c>
      <c r="D22" s="27">
        <v>70370</v>
      </c>
      <c r="E22" s="28">
        <v>128374</v>
      </c>
      <c r="G22" s="35">
        <f t="shared" si="2"/>
        <v>58055.844186776456</v>
      </c>
      <c r="H22" s="27">
        <f t="shared" si="3"/>
        <v>70428.615708967074</v>
      </c>
      <c r="I22" s="36">
        <f t="shared" si="4"/>
        <v>128484.67991049025</v>
      </c>
    </row>
    <row r="23" spans="2:9" ht="14.4">
      <c r="B23" s="26" t="s">
        <v>19</v>
      </c>
      <c r="C23" s="27">
        <v>41799</v>
      </c>
      <c r="D23" s="27">
        <v>49695</v>
      </c>
      <c r="E23" s="28">
        <v>91494</v>
      </c>
      <c r="G23" s="35">
        <f t="shared" si="2"/>
        <v>41836.360098666803</v>
      </c>
      <c r="H23" s="27">
        <f t="shared" si="3"/>
        <v>49736.394168780993</v>
      </c>
      <c r="I23" s="36">
        <f t="shared" si="4"/>
        <v>91572.883167388994</v>
      </c>
    </row>
    <row r="24" spans="2:9" ht="14.4">
      <c r="B24" s="26" t="s">
        <v>20</v>
      </c>
      <c r="C24" s="27">
        <v>26102</v>
      </c>
      <c r="D24" s="27">
        <v>34252</v>
      </c>
      <c r="E24" s="28">
        <v>60354</v>
      </c>
      <c r="G24" s="35">
        <f t="shared" si="2"/>
        <v>26125.330062810135</v>
      </c>
      <c r="H24" s="27">
        <f t="shared" si="3"/>
        <v>34280.530698643459</v>
      </c>
      <c r="I24" s="36">
        <f t="shared" si="4"/>
        <v>60406.035266625084</v>
      </c>
    </row>
    <row r="25" spans="2:9" ht="14.4">
      <c r="B25" s="26" t="s">
        <v>26</v>
      </c>
      <c r="C25" s="27">
        <v>23655</v>
      </c>
      <c r="D25" s="27">
        <v>34302</v>
      </c>
      <c r="E25" s="28">
        <v>57957</v>
      </c>
      <c r="G25" s="37">
        <f t="shared" si="2"/>
        <v>23676.142925284414</v>
      </c>
      <c r="H25" s="38">
        <f t="shared" si="3"/>
        <v>34330.5723468664</v>
      </c>
      <c r="I25" s="39">
        <f t="shared" si="4"/>
        <v>58006.96865075703</v>
      </c>
    </row>
    <row r="26" spans="2:9" ht="14.4">
      <c r="B26" s="29" t="s">
        <v>22</v>
      </c>
      <c r="C26" s="30">
        <v>2822</v>
      </c>
      <c r="D26" s="30">
        <v>2849</v>
      </c>
      <c r="E26" s="31">
        <v>5671</v>
      </c>
    </row>
    <row r="27" spans="2:9" ht="14.4">
      <c r="B27" s="6"/>
      <c r="C27" s="2"/>
      <c r="D27" s="2"/>
      <c r="E27" s="2"/>
      <c r="F27" s="2"/>
    </row>
    <row r="28" spans="2:9" ht="14.4">
      <c r="B28" s="41" t="s">
        <v>27</v>
      </c>
      <c r="C28" s="2"/>
      <c r="D28" s="2"/>
      <c r="E28" s="2"/>
      <c r="F28" s="2"/>
    </row>
    <row r="29" spans="2:9" ht="14.4">
      <c r="B29" s="6"/>
      <c r="C29" s="2"/>
      <c r="D29" s="2"/>
      <c r="E29" s="2"/>
      <c r="F29" s="2"/>
    </row>
    <row r="30" spans="2:9" ht="14.4">
      <c r="B30" s="40"/>
      <c r="C30" s="2"/>
      <c r="D30" s="2"/>
      <c r="E30" s="2"/>
      <c r="F30" s="7"/>
    </row>
    <row r="31" spans="2:9" ht="14.4">
      <c r="B31" s="6"/>
      <c r="C31" s="2"/>
      <c r="D31" s="2"/>
      <c r="E31" s="2"/>
      <c r="F31" s="2"/>
    </row>
  </sheetData>
  <mergeCells count="3">
    <mergeCell ref="B2:E2"/>
    <mergeCell ref="B4:E4"/>
    <mergeCell ref="G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E210-613A-4A51-85D6-3A91E3915220}">
  <dimension ref="A1:N24"/>
  <sheetViews>
    <sheetView showGridLines="0" tabSelected="1" topLeftCell="J4" zoomScale="126" zoomScaleNormal="280" workbookViewId="0">
      <selection activeCell="G14" sqref="G14"/>
    </sheetView>
  </sheetViews>
  <sheetFormatPr baseColWidth="10" defaultRowHeight="13.8"/>
  <cols>
    <col min="1" max="1" width="14" bestFit="1" customWidth="1"/>
    <col min="6" max="6" width="4.3984375" customWidth="1"/>
    <col min="7" max="7" width="11.19921875" bestFit="1" customWidth="1"/>
    <col min="8" max="8" width="11.69921875" bestFit="1" customWidth="1"/>
    <col min="9" max="9" width="12.19921875" bestFit="1" customWidth="1"/>
    <col min="10" max="10" width="4.3984375" customWidth="1"/>
    <col min="11" max="11" width="6.8984375" customWidth="1"/>
  </cols>
  <sheetData>
    <row r="1" spans="1:14" s="45" customFormat="1" ht="20.399999999999999">
      <c r="A1" s="45" t="s">
        <v>37</v>
      </c>
    </row>
    <row r="2" spans="1:14" ht="14.4">
      <c r="G2" s="15" t="s">
        <v>29</v>
      </c>
      <c r="H2" s="16">
        <v>40518</v>
      </c>
      <c r="I2" s="44">
        <f>2010+(6-1)/12+12/365</f>
        <v>2010.4495433789955</v>
      </c>
    </row>
    <row r="3" spans="1:14" ht="20.399999999999999">
      <c r="A3" s="12" t="s">
        <v>0</v>
      </c>
      <c r="B3" s="74">
        <v>2010</v>
      </c>
      <c r="C3" s="74"/>
      <c r="D3" s="74">
        <v>2020</v>
      </c>
      <c r="E3" s="74"/>
      <c r="G3" s="15" t="s">
        <v>30</v>
      </c>
      <c r="H3" s="17">
        <v>43905</v>
      </c>
      <c r="I3" s="44">
        <f>2020+(3-1)/12+15/365</f>
        <v>2020.2077625570778</v>
      </c>
      <c r="K3" s="46" t="s">
        <v>38</v>
      </c>
      <c r="L3" s="47">
        <f>I3-I2</f>
        <v>9.7582191780822995</v>
      </c>
    </row>
    <row r="4" spans="1:14" ht="14.4">
      <c r="A4" s="3" t="s">
        <v>0</v>
      </c>
      <c r="B4" s="42" t="s">
        <v>24</v>
      </c>
      <c r="C4" s="42" t="s">
        <v>25</v>
      </c>
      <c r="D4" s="42" t="s">
        <v>24</v>
      </c>
      <c r="E4" s="42" t="s">
        <v>25</v>
      </c>
      <c r="H4">
        <v>2019.5</v>
      </c>
    </row>
    <row r="5" spans="1:14" ht="14.4">
      <c r="A5" s="43" t="s">
        <v>4</v>
      </c>
      <c r="B5" s="30">
        <v>291584</v>
      </c>
      <c r="C5" s="30">
        <v>282929</v>
      </c>
      <c r="D5" s="30">
        <v>292266</v>
      </c>
      <c r="E5" s="31">
        <v>286513</v>
      </c>
      <c r="G5" s="1" t="s">
        <v>31</v>
      </c>
      <c r="H5" s="48" t="s">
        <v>2</v>
      </c>
      <c r="I5" s="48" t="s">
        <v>3</v>
      </c>
      <c r="K5" s="18" t="s">
        <v>32</v>
      </c>
      <c r="L5" s="51" t="s">
        <v>2</v>
      </c>
      <c r="M5" s="51" t="s">
        <v>3</v>
      </c>
    </row>
    <row r="6" spans="1:14" ht="14.4">
      <c r="A6" s="43" t="s">
        <v>5</v>
      </c>
      <c r="B6" s="30">
        <v>314122</v>
      </c>
      <c r="C6" s="30">
        <v>306264</v>
      </c>
      <c r="D6" s="30">
        <v>302188</v>
      </c>
      <c r="E6" s="31">
        <v>296362</v>
      </c>
      <c r="H6" s="49">
        <f t="shared" ref="H6:H23" si="0">LN(D5/B5)/$L$3</f>
        <v>2.3941023601743177E-4</v>
      </c>
      <c r="I6" s="50">
        <f t="shared" ref="I6:I23" si="1">LN(E5/C5)/$L$3</f>
        <v>1.289982048905527E-3</v>
      </c>
      <c r="K6" s="52"/>
      <c r="L6" s="61">
        <f t="shared" ref="L6:L22" si="2">B5*EXP(H6*($H$4-$I$2))</f>
        <v>292216.48100753274</v>
      </c>
      <c r="M6" s="54">
        <f t="shared" ref="M6:M23" si="3">C5*EXP(I6*($H$4-$I$2))</f>
        <v>286251.53272444807</v>
      </c>
    </row>
    <row r="7" spans="1:14" ht="14.4">
      <c r="A7" s="43" t="s">
        <v>6</v>
      </c>
      <c r="B7" s="30">
        <v>305657</v>
      </c>
      <c r="C7" s="30">
        <v>299188</v>
      </c>
      <c r="D7" s="30">
        <v>305853</v>
      </c>
      <c r="E7" s="31">
        <v>297522</v>
      </c>
      <c r="H7" s="49">
        <f t="shared" si="0"/>
        <v>-3.9691776260569649E-3</v>
      </c>
      <c r="I7" s="50">
        <f t="shared" si="1"/>
        <v>-3.3680115628943008E-3</v>
      </c>
      <c r="K7" s="63"/>
      <c r="L7" s="64">
        <f t="shared" si="2"/>
        <v>303038.11072013312</v>
      </c>
      <c r="M7" s="56">
        <f t="shared" si="3"/>
        <v>297069.29632606194</v>
      </c>
    </row>
    <row r="8" spans="1:14" ht="14.4">
      <c r="A8" s="43" t="s">
        <v>7</v>
      </c>
      <c r="B8" s="30">
        <v>299098</v>
      </c>
      <c r="C8" s="30">
        <v>304996</v>
      </c>
      <c r="D8" s="30">
        <v>305827</v>
      </c>
      <c r="E8" s="31">
        <v>301373</v>
      </c>
      <c r="H8" s="49">
        <f t="shared" si="0"/>
        <v>6.5691919185963745E-5</v>
      </c>
      <c r="I8" s="50">
        <f t="shared" si="1"/>
        <v>-5.722321266677673E-4</v>
      </c>
      <c r="L8" s="62">
        <f t="shared" si="2"/>
        <v>305838.77991534321</v>
      </c>
      <c r="M8" s="56">
        <f t="shared" si="3"/>
        <v>297642.52214523568</v>
      </c>
      <c r="N8" s="53"/>
    </row>
    <row r="9" spans="1:14" ht="14.4">
      <c r="A9" s="43" t="s">
        <v>8</v>
      </c>
      <c r="B9" s="30">
        <v>241187</v>
      </c>
      <c r="C9" s="30">
        <v>270498</v>
      </c>
      <c r="D9" s="30">
        <v>279374</v>
      </c>
      <c r="E9" s="31">
        <v>291272</v>
      </c>
      <c r="H9" s="49">
        <f t="shared" si="0"/>
        <v>2.2799553183432187E-3</v>
      </c>
      <c r="I9" s="50">
        <f t="shared" si="1"/>
        <v>-1.2246047481038276E-3</v>
      </c>
      <c r="L9" s="57">
        <f t="shared" si="2"/>
        <v>305333.89502113318</v>
      </c>
      <c r="M9" s="56">
        <f t="shared" si="3"/>
        <v>301634.3220672264</v>
      </c>
    </row>
    <row r="10" spans="1:14" ht="14.4">
      <c r="A10" s="43" t="s">
        <v>9</v>
      </c>
      <c r="B10" s="30">
        <v>203626</v>
      </c>
      <c r="C10" s="30">
        <v>237932</v>
      </c>
      <c r="D10" s="30">
        <v>251899</v>
      </c>
      <c r="E10" s="31">
        <v>276390</v>
      </c>
      <c r="H10" s="49">
        <f t="shared" si="0"/>
        <v>1.50620535408188E-2</v>
      </c>
      <c r="I10" s="50">
        <f t="shared" si="1"/>
        <v>7.5826165218950536E-3</v>
      </c>
      <c r="L10" s="58">
        <f t="shared" si="2"/>
        <v>276411.59149736649</v>
      </c>
      <c r="M10" s="56">
        <f t="shared" si="3"/>
        <v>289713.01989543065</v>
      </c>
    </row>
    <row r="11" spans="1:14" ht="14.4">
      <c r="A11" s="43" t="s">
        <v>10</v>
      </c>
      <c r="B11" s="30">
        <v>192949</v>
      </c>
      <c r="C11" s="30">
        <v>227543</v>
      </c>
      <c r="D11" s="30">
        <v>221145</v>
      </c>
      <c r="E11" s="31">
        <v>254709</v>
      </c>
      <c r="H11" s="49">
        <f t="shared" si="0"/>
        <v>2.1801440584644588E-2</v>
      </c>
      <c r="I11" s="50">
        <f t="shared" si="1"/>
        <v>1.5354030330023518E-2</v>
      </c>
      <c r="L11" s="58">
        <f>B10*EXP(H11*($H$4-$I$2))</f>
        <v>248041.97110817864</v>
      </c>
      <c r="M11" s="56">
        <f t="shared" si="3"/>
        <v>273402.72847214498</v>
      </c>
    </row>
    <row r="12" spans="1:14" ht="14.4">
      <c r="A12" s="43" t="s">
        <v>11</v>
      </c>
      <c r="B12" s="30">
        <v>182690</v>
      </c>
      <c r="C12" s="30">
        <v>212271</v>
      </c>
      <c r="D12" s="30">
        <v>212520</v>
      </c>
      <c r="E12" s="31">
        <v>245344</v>
      </c>
      <c r="H12" s="49">
        <f t="shared" si="0"/>
        <v>1.3977211128425929E-2</v>
      </c>
      <c r="I12" s="50">
        <f t="shared" si="1"/>
        <v>1.1557691364813253E-2</v>
      </c>
      <c r="L12" s="69">
        <f t="shared" si="2"/>
        <v>218968.098067504</v>
      </c>
      <c r="M12" s="56">
        <f t="shared" si="3"/>
        <v>252633.95322202385</v>
      </c>
    </row>
    <row r="13" spans="1:14" ht="14.4">
      <c r="A13" s="43" t="s">
        <v>12</v>
      </c>
      <c r="B13" s="30">
        <v>151228</v>
      </c>
      <c r="C13" s="30">
        <v>177328</v>
      </c>
      <c r="D13" s="30">
        <v>196550</v>
      </c>
      <c r="E13" s="31">
        <v>228539</v>
      </c>
      <c r="H13" s="49">
        <f t="shared" si="0"/>
        <v>1.5499280296344717E-2</v>
      </c>
      <c r="I13" s="50">
        <f t="shared" si="1"/>
        <v>1.4838521712563797E-2</v>
      </c>
      <c r="K13" s="63"/>
      <c r="L13" s="64">
        <f t="shared" si="2"/>
        <v>210201.43627722582</v>
      </c>
      <c r="M13" s="56">
        <f t="shared" si="3"/>
        <v>242780.84337943888</v>
      </c>
    </row>
    <row r="14" spans="1:14" ht="14.4">
      <c r="A14" s="43" t="s">
        <v>13</v>
      </c>
      <c r="B14" s="30">
        <v>129308</v>
      </c>
      <c r="C14" s="30">
        <v>150117</v>
      </c>
      <c r="D14" s="30">
        <v>178206</v>
      </c>
      <c r="E14" s="31">
        <v>204659</v>
      </c>
      <c r="H14" s="49">
        <f t="shared" si="0"/>
        <v>2.6862300927885607E-2</v>
      </c>
      <c r="I14" s="50">
        <f t="shared" si="1"/>
        <v>2.5999185347660006E-2</v>
      </c>
      <c r="L14" s="64">
        <f t="shared" si="2"/>
        <v>192848.46422969655</v>
      </c>
      <c r="M14" s="56">
        <f t="shared" si="3"/>
        <v>224372.05284502637</v>
      </c>
    </row>
    <row r="15" spans="1:14" ht="14.4">
      <c r="A15" s="43" t="s">
        <v>14</v>
      </c>
      <c r="B15" s="30">
        <v>110377</v>
      </c>
      <c r="C15" s="30">
        <v>129643</v>
      </c>
      <c r="D15" s="30">
        <v>153039</v>
      </c>
      <c r="E15" s="31">
        <v>181558</v>
      </c>
      <c r="H15" s="49">
        <f t="shared" si="0"/>
        <v>3.2869012590302442E-2</v>
      </c>
      <c r="I15" s="50">
        <f t="shared" si="1"/>
        <v>3.1760937501363794E-2</v>
      </c>
      <c r="L15" s="64">
        <f t="shared" si="2"/>
        <v>174108.16223085846</v>
      </c>
      <c r="M15" s="55">
        <f t="shared" si="3"/>
        <v>200109.75222383207</v>
      </c>
      <c r="N15" s="70"/>
    </row>
    <row r="16" spans="1:14" ht="14.4">
      <c r="A16" s="43" t="s">
        <v>15</v>
      </c>
      <c r="B16" s="30">
        <v>88207</v>
      </c>
      <c r="C16" s="30">
        <v>100712</v>
      </c>
      <c r="D16" s="30">
        <v>123605</v>
      </c>
      <c r="E16" s="31">
        <v>145475</v>
      </c>
      <c r="H16" s="49">
        <f t="shared" si="0"/>
        <v>3.348879607049346E-2</v>
      </c>
      <c r="I16" s="50">
        <f t="shared" si="1"/>
        <v>3.4513535382601115E-2</v>
      </c>
      <c r="L16" s="62">
        <f t="shared" si="2"/>
        <v>149454.30215965741</v>
      </c>
      <c r="M16" s="55">
        <f t="shared" si="3"/>
        <v>177176.74148517597</v>
      </c>
      <c r="N16" s="70"/>
    </row>
    <row r="17" spans="1:13" ht="14.4">
      <c r="A17" s="43" t="s">
        <v>16</v>
      </c>
      <c r="B17" s="30">
        <v>69041</v>
      </c>
      <c r="C17" s="30">
        <v>81524</v>
      </c>
      <c r="D17" s="30">
        <v>104369</v>
      </c>
      <c r="E17" s="31">
        <v>124995</v>
      </c>
      <c r="H17" s="49">
        <f t="shared" si="0"/>
        <v>3.4576459718673624E-2</v>
      </c>
      <c r="I17" s="50">
        <f t="shared" si="1"/>
        <v>3.7685082223275511E-2</v>
      </c>
      <c r="L17" s="59">
        <f t="shared" si="2"/>
        <v>120616.85978503342</v>
      </c>
      <c r="M17" s="54">
        <f t="shared" si="3"/>
        <v>141646.1661683064</v>
      </c>
    </row>
    <row r="18" spans="1:13" ht="14.4">
      <c r="A18" s="43" t="s">
        <v>17</v>
      </c>
      <c r="B18" s="30">
        <v>53384</v>
      </c>
      <c r="C18" s="30">
        <v>62606</v>
      </c>
      <c r="D18" s="30">
        <v>80892</v>
      </c>
      <c r="E18" s="31">
        <v>96984</v>
      </c>
      <c r="H18" s="49">
        <f t="shared" si="0"/>
        <v>4.2347087918432162E-2</v>
      </c>
      <c r="I18" s="50">
        <f t="shared" si="1"/>
        <v>4.3796544561948994E-2</v>
      </c>
      <c r="L18" s="60">
        <f>B17*EXP(H18*($H$4-$I$2))</f>
        <v>101287.29797944269</v>
      </c>
      <c r="M18" s="66">
        <f t="shared" si="3"/>
        <v>121179.89561742284</v>
      </c>
    </row>
    <row r="19" spans="1:13" ht="14.4">
      <c r="A19" s="43" t="s">
        <v>18</v>
      </c>
      <c r="B19" s="30">
        <v>43408</v>
      </c>
      <c r="C19" s="30">
        <v>53277</v>
      </c>
      <c r="D19" s="30">
        <v>58004</v>
      </c>
      <c r="E19" s="31">
        <v>70370</v>
      </c>
      <c r="H19" s="49">
        <f t="shared" si="0"/>
        <v>4.2590133350506668E-2</v>
      </c>
      <c r="I19" s="50">
        <f t="shared" si="1"/>
        <v>4.4852947889193924E-2</v>
      </c>
      <c r="L19" s="57">
        <f t="shared" si="2"/>
        <v>78490.000143961748</v>
      </c>
      <c r="M19" s="54">
        <f t="shared" si="3"/>
        <v>93953.575193811048</v>
      </c>
    </row>
    <row r="20" spans="1:13" ht="14.4">
      <c r="A20" s="43" t="s">
        <v>19</v>
      </c>
      <c r="B20" s="30">
        <v>30238</v>
      </c>
      <c r="C20" s="30">
        <v>36781</v>
      </c>
      <c r="D20" s="30">
        <v>41799</v>
      </c>
      <c r="E20" s="31">
        <v>49695</v>
      </c>
      <c r="H20" s="49">
        <f t="shared" si="0"/>
        <v>2.9705032494057815E-2</v>
      </c>
      <c r="I20" s="50">
        <f t="shared" si="1"/>
        <v>2.8515686372661931E-2</v>
      </c>
      <c r="L20" s="57">
        <f t="shared" si="2"/>
        <v>56797.247436597921</v>
      </c>
      <c r="M20" s="66">
        <f t="shared" si="3"/>
        <v>68964.004935126737</v>
      </c>
    </row>
    <row r="21" spans="1:13" ht="14.4">
      <c r="A21" s="43" t="s">
        <v>20</v>
      </c>
      <c r="B21" s="30">
        <v>18969</v>
      </c>
      <c r="C21" s="30">
        <v>24398</v>
      </c>
      <c r="D21" s="30">
        <v>26102</v>
      </c>
      <c r="E21" s="31">
        <v>34252</v>
      </c>
      <c r="H21" s="49">
        <f t="shared" si="0"/>
        <v>3.3179517525981965E-2</v>
      </c>
      <c r="I21" s="50">
        <f t="shared" si="1"/>
        <v>3.0837892799107255E-2</v>
      </c>
      <c r="L21" s="57">
        <f t="shared" si="2"/>
        <v>40828.860462903562</v>
      </c>
      <c r="M21" s="68">
        <f t="shared" si="3"/>
        <v>48622.112568831064</v>
      </c>
    </row>
    <row r="22" spans="1:13" ht="14.4">
      <c r="A22" s="43" t="s">
        <v>21</v>
      </c>
      <c r="B22" s="30">
        <v>16816</v>
      </c>
      <c r="C22" s="30">
        <v>23994</v>
      </c>
      <c r="D22" s="30">
        <v>23655</v>
      </c>
      <c r="E22" s="31">
        <v>34302</v>
      </c>
      <c r="H22" s="49">
        <f t="shared" si="0"/>
        <v>3.2711488251638242E-2</v>
      </c>
      <c r="I22" s="50">
        <f t="shared" si="1"/>
        <v>3.4764928850887791E-2</v>
      </c>
      <c r="L22" s="65">
        <f t="shared" si="2"/>
        <v>25504.629205895333</v>
      </c>
      <c r="M22" s="68">
        <f t="shared" si="3"/>
        <v>33419.502682570739</v>
      </c>
    </row>
    <row r="23" spans="1:13" ht="14.4">
      <c r="H23" s="49">
        <f t="shared" si="0"/>
        <v>3.4969873982229796E-2</v>
      </c>
      <c r="I23" s="50">
        <f t="shared" si="1"/>
        <v>3.6625521101216918E-2</v>
      </c>
      <c r="L23" s="57">
        <f>B22*EXP(H23*($H$4-$I$2))</f>
        <v>23076.715949962527</v>
      </c>
      <c r="M23" s="67">
        <f t="shared" si="3"/>
        <v>33424.243468882487</v>
      </c>
    </row>
    <row r="24" spans="1:13" ht="14.4">
      <c r="A24" s="3" t="s">
        <v>36</v>
      </c>
      <c r="B24" s="74">
        <f>+SUBTOTAL(9,B5:C22)</f>
        <v>5723890</v>
      </c>
      <c r="C24" s="74"/>
      <c r="D24" s="74">
        <f>+SUBTOTAL(9,D5:E22)</f>
        <v>6577607</v>
      </c>
      <c r="E24" s="74"/>
    </row>
  </sheetData>
  <mergeCells count="4">
    <mergeCell ref="B3:C3"/>
    <mergeCell ref="D3:E3"/>
    <mergeCell ref="B24:C24"/>
    <mergeCell ref="D24:E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2010</vt:lpstr>
      <vt:lpstr>2020</vt:lpstr>
      <vt:lpstr>2010 y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Ramìrez Pera</dc:creator>
  <cp:lastModifiedBy>neto castro</cp:lastModifiedBy>
  <dcterms:created xsi:type="dcterms:W3CDTF">2026-03-15T09:10:08Z</dcterms:created>
  <dcterms:modified xsi:type="dcterms:W3CDTF">2026-03-16T04:07:54Z</dcterms:modified>
</cp:coreProperties>
</file>