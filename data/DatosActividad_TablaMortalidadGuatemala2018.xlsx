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gel\Documents\DEMOGRAFÍA\DEMOGRAPHY_9219\data\"/>
    </mc:Choice>
  </mc:AlternateContent>
  <xr:revisionPtr revIDLastSave="0" documentId="13_ncr:1_{D5465D02-455A-4CE8-BCA9-29E512BBDF5B}" xr6:coauthVersionLast="47" xr6:coauthVersionMax="47" xr10:uidLastSave="{00000000-0000-0000-0000-000000000000}"/>
  <bookViews>
    <workbookView xWindow="-108" yWindow="-108" windowWidth="23256" windowHeight="12456" xr2:uid="{AA1FD95C-5C7D-4022-A558-3323BFE15373}"/>
  </bookViews>
  <sheets>
    <sheet name="tabla mortalidad 1998" sheetId="2" r:id="rId1"/>
    <sheet name="tabla mortalidad 2018" sheetId="1" r:id="rId2"/>
  </sheets>
  <definedNames>
    <definedName name="_Hlk25056703" localSheetId="1">'tabla mortalidad 2018'!$A$3</definedName>
  </definedNames>
  <calcPr calcId="191028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5" i="1"/>
  <c r="M4" i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4" i="2"/>
  <c r="L22" i="2"/>
  <c r="L4" i="2"/>
  <c r="L22" i="1"/>
  <c r="L5" i="1"/>
  <c r="L4" i="1"/>
  <c r="K22" i="1"/>
  <c r="K20" i="1"/>
  <c r="K21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6" i="1"/>
  <c r="K5" i="1"/>
  <c r="K4" i="1"/>
  <c r="H4" i="1"/>
  <c r="G7" i="1"/>
  <c r="G8" i="1"/>
  <c r="H8" i="1" s="1"/>
  <c r="G9" i="1"/>
  <c r="G10" i="1"/>
  <c r="H10" i="1" s="1"/>
  <c r="G11" i="1"/>
  <c r="H11" i="1" s="1"/>
  <c r="G12" i="1"/>
  <c r="G13" i="1"/>
  <c r="H13" i="1" s="1"/>
  <c r="G14" i="1"/>
  <c r="H14" i="1" s="1"/>
  <c r="G15" i="1"/>
  <c r="G16" i="1"/>
  <c r="G17" i="1"/>
  <c r="G18" i="1"/>
  <c r="G19" i="1"/>
  <c r="H19" i="1" s="1"/>
  <c r="G20" i="1"/>
  <c r="G21" i="1"/>
  <c r="H21" i="1" s="1"/>
  <c r="G6" i="1"/>
  <c r="H12" i="1"/>
  <c r="H18" i="1"/>
  <c r="H20" i="1"/>
  <c r="H16" i="1"/>
  <c r="H22" i="1"/>
  <c r="G5" i="1"/>
  <c r="G4" i="1"/>
  <c r="H9" i="1"/>
  <c r="H6" i="1"/>
  <c r="F4" i="1"/>
  <c r="E4" i="1"/>
  <c r="L21" i="2"/>
  <c r="K21" i="2"/>
  <c r="K22" i="2"/>
  <c r="K4" i="2"/>
  <c r="J4" i="1"/>
  <c r="J4" i="2"/>
  <c r="I5" i="2"/>
  <c r="H5" i="1"/>
  <c r="H7" i="1"/>
  <c r="H15" i="1"/>
  <c r="H17" i="1"/>
  <c r="I5" i="1"/>
  <c r="H4" i="2"/>
  <c r="G4" i="2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6" i="1"/>
  <c r="F5" i="1"/>
  <c r="F5" i="2"/>
  <c r="G5" i="2" s="1"/>
  <c r="H5" i="2" s="1"/>
  <c r="F4" i="2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6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4" i="2"/>
  <c r="I6" i="1" l="1"/>
  <c r="J5" i="1"/>
  <c r="I6" i="2"/>
  <c r="J5" i="2"/>
  <c r="I7" i="1" l="1"/>
  <c r="J6" i="1"/>
  <c r="I7" i="2"/>
  <c r="J6" i="2"/>
  <c r="K5" i="2"/>
  <c r="I8" i="1" l="1"/>
  <c r="J7" i="1"/>
  <c r="I8" i="2"/>
  <c r="J7" i="2"/>
  <c r="K6" i="2"/>
  <c r="I9" i="1" l="1"/>
  <c r="J8" i="1"/>
  <c r="I9" i="2"/>
  <c r="K7" i="2"/>
  <c r="J8" i="2"/>
  <c r="I10" i="1" l="1"/>
  <c r="J9" i="1"/>
  <c r="I10" i="2"/>
  <c r="K8" i="2"/>
  <c r="J9" i="2"/>
  <c r="I11" i="1" l="1"/>
  <c r="J10" i="1"/>
  <c r="I11" i="2"/>
  <c r="J10" i="2"/>
  <c r="K9" i="2"/>
  <c r="I12" i="1" l="1"/>
  <c r="J11" i="1"/>
  <c r="I12" i="2"/>
  <c r="K10" i="2"/>
  <c r="J11" i="2"/>
  <c r="I13" i="1" l="1"/>
  <c r="J12" i="1"/>
  <c r="I13" i="2"/>
  <c r="K11" i="2"/>
  <c r="J12" i="2"/>
  <c r="I14" i="1" l="1"/>
  <c r="J13" i="1"/>
  <c r="I14" i="2"/>
  <c r="J13" i="2"/>
  <c r="K12" i="2"/>
  <c r="I15" i="1" l="1"/>
  <c r="J14" i="1"/>
  <c r="I15" i="2"/>
  <c r="J14" i="2"/>
  <c r="K13" i="2"/>
  <c r="I16" i="1" l="1"/>
  <c r="J15" i="1"/>
  <c r="I16" i="2"/>
  <c r="K14" i="2"/>
  <c r="J15" i="2"/>
  <c r="I17" i="1" l="1"/>
  <c r="J16" i="1"/>
  <c r="I17" i="2"/>
  <c r="J16" i="2"/>
  <c r="K15" i="2"/>
  <c r="I18" i="1" l="1"/>
  <c r="J17" i="1"/>
  <c r="I18" i="2"/>
  <c r="K16" i="2"/>
  <c r="J17" i="2"/>
  <c r="I19" i="1" l="1"/>
  <c r="J18" i="1"/>
  <c r="I19" i="2"/>
  <c r="K17" i="2"/>
  <c r="J18" i="2"/>
  <c r="I20" i="1" l="1"/>
  <c r="J19" i="1"/>
  <c r="I20" i="2"/>
  <c r="K18" i="2"/>
  <c r="J19" i="2"/>
  <c r="I21" i="1" l="1"/>
  <c r="J20" i="1"/>
  <c r="I21" i="2"/>
  <c r="K19" i="2"/>
  <c r="J20" i="2"/>
  <c r="I22" i="1" l="1"/>
  <c r="J21" i="1"/>
  <c r="I22" i="2"/>
  <c r="K20" i="2"/>
  <c r="J21" i="2"/>
  <c r="J22" i="1" l="1"/>
  <c r="J22" i="2"/>
  <c r="M22" i="2"/>
  <c r="L21" i="1" l="1"/>
  <c r="L20" i="2"/>
  <c r="L20" i="1" l="1"/>
  <c r="L19" i="2"/>
  <c r="L19" i="1" l="1"/>
  <c r="L18" i="2"/>
  <c r="L18" i="1" l="1"/>
  <c r="L17" i="2"/>
  <c r="L17" i="1" l="1"/>
  <c r="L16" i="2"/>
  <c r="L16" i="1" l="1"/>
  <c r="L15" i="2"/>
  <c r="L15" i="1" l="1"/>
  <c r="L14" i="2"/>
  <c r="L14" i="1" l="1"/>
  <c r="L13" i="2"/>
  <c r="L13" i="1" l="1"/>
  <c r="L12" i="2"/>
  <c r="L12" i="1" l="1"/>
  <c r="L11" i="2"/>
  <c r="L11" i="1" l="1"/>
  <c r="L10" i="2"/>
  <c r="L10" i="1" l="1"/>
  <c r="L9" i="2"/>
  <c r="L9" i="1" l="1"/>
  <c r="L8" i="2"/>
  <c r="L8" i="1" l="1"/>
  <c r="L7" i="2"/>
  <c r="L7" i="1" l="1"/>
  <c r="M8" i="1"/>
  <c r="L6" i="2"/>
  <c r="L6" i="1" l="1"/>
  <c r="M7" i="1"/>
  <c r="L5" i="2"/>
  <c r="M6" i="1" l="1"/>
</calcChain>
</file>

<file path=xl/sharedStrings.xml><?xml version="1.0" encoding="utf-8"?>
<sst xmlns="http://schemas.openxmlformats.org/spreadsheetml/2006/main" count="29" uniqueCount="16">
  <si>
    <t>Guatemala: tabla de mortalidad femenina, 1998</t>
  </si>
  <si>
    <t>x (edad)</t>
  </si>
  <si>
    <t>n</t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</si>
  <si>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N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</si>
  <si>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D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</si>
  <si>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m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</si>
  <si>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</si>
  <si>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</si>
  <si>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p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</si>
  <si>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l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</si>
  <si>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d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</si>
  <si>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L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</si>
  <si>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x</t>
    </r>
  </si>
  <si>
    <t>85+</t>
  </si>
  <si>
    <t>Guatemala: tabla de mortalidad femenina, 2018</t>
  </si>
  <si>
    <t>En comparación con 1998: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</si>
</sst>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"/>
    <numFmt numFmtId="166" formatCode="0.0000"/>
    <numFmt numFmtId="167" formatCode="0.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165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1998'!$E$3</c:f>
              <c:strCache>
                <c:ptCount val="1"/>
                <c:pt idx="0">
                  <c:v>nmx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1998'!$E$4:$E$22</c:f>
              <c:numCache>
                <c:formatCode>0.0000</c:formatCode>
                <c:ptCount val="19"/>
                <c:pt idx="0">
                  <c:v>3.6853451840742804E-2</c:v>
                </c:pt>
                <c:pt idx="1">
                  <c:v>5.6623841486438077E-3</c:v>
                </c:pt>
                <c:pt idx="2">
                  <c:v>8.9909079443412847E-4</c:v>
                </c:pt>
                <c:pt idx="3">
                  <c:v>7.0385730662890283E-4</c:v>
                </c:pt>
                <c:pt idx="4">
                  <c:v>1.0193168381732588E-3</c:v>
                </c:pt>
                <c:pt idx="5">
                  <c:v>1.4609050754546995E-3</c:v>
                </c:pt>
                <c:pt idx="6">
                  <c:v>1.8931032497072767E-3</c:v>
                </c:pt>
                <c:pt idx="7">
                  <c:v>2.3472145491466711E-3</c:v>
                </c:pt>
                <c:pt idx="8">
                  <c:v>2.8750333258875495E-3</c:v>
                </c:pt>
                <c:pt idx="9">
                  <c:v>3.633332089041522E-3</c:v>
                </c:pt>
                <c:pt idx="10">
                  <c:v>4.7615175876332665E-3</c:v>
                </c:pt>
                <c:pt idx="11">
                  <c:v>6.9539412504786386E-3</c:v>
                </c:pt>
                <c:pt idx="12">
                  <c:v>1.0025324597017325E-2</c:v>
                </c:pt>
                <c:pt idx="13">
                  <c:v>1.5720662373847973E-2</c:v>
                </c:pt>
                <c:pt idx="14">
                  <c:v>2.2187971258759868E-2</c:v>
                </c:pt>
                <c:pt idx="15">
                  <c:v>3.2846989526829046E-2</c:v>
                </c:pt>
                <c:pt idx="16">
                  <c:v>5.7543039108368992E-2</c:v>
                </c:pt>
                <c:pt idx="17">
                  <c:v>0.10126085463376343</c:v>
                </c:pt>
                <c:pt idx="18">
                  <c:v>0.17474967348715717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96-4BCC-BA82-EC8ABB38C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055312"/>
        <c:axId val="1116056144"/>
      </c:scatterChart>
      <c:valAx>
        <c:axId val="111605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6056144"/>
        <c:crosses val="autoZero"/>
        <c:crossBetween val="midCat"/>
      </c:valAx>
      <c:valAx>
        <c:axId val="11160561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605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1998'!$F$3</c:f>
              <c:strCache>
                <c:ptCount val="1"/>
                <c:pt idx="0">
                  <c:v>nax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1998'!$F$4:$F$22</c:f>
              <c:numCache>
                <c:formatCode>0.0000</c:formatCode>
                <c:ptCount val="19"/>
                <c:pt idx="0">
                  <c:v>0.15618966515407984</c:v>
                </c:pt>
                <c:pt idx="1">
                  <c:v>1.4660564601057524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FA-4A29-ADD6-741E15312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214464"/>
        <c:axId val="1131214880"/>
      </c:scatterChart>
      <c:valAx>
        <c:axId val="113121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1214880"/>
        <c:crosses val="autoZero"/>
        <c:crossBetween val="midCat"/>
      </c:valAx>
      <c:valAx>
        <c:axId val="113121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121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1998'!$G$3</c:f>
              <c:strCache>
                <c:ptCount val="1"/>
                <c:pt idx="0">
                  <c:v>nqx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1998'!$G$4:$G$22</c:f>
              <c:numCache>
                <c:formatCode>General</c:formatCode>
                <c:ptCount val="19"/>
                <c:pt idx="0">
                  <c:v>3.574197216833902E-2</c:v>
                </c:pt>
                <c:pt idx="1">
                  <c:v>2.2329154277619726E-2</c:v>
                </c:pt>
                <c:pt idx="2">
                  <c:v>4.4853720803031119E-3</c:v>
                </c:pt>
                <c:pt idx="3">
                  <c:v>3.5131047220755504E-3</c:v>
                </c:pt>
                <c:pt idx="4">
                  <c:v>5.0836296176954114E-3</c:v>
                </c:pt>
                <c:pt idx="5">
                  <c:v>7.2779444124459487E-3</c:v>
                </c:pt>
                <c:pt idx="6">
                  <c:v>9.4209292690003651E-3</c:v>
                </c:pt>
                <c:pt idx="7">
                  <c:v>1.1667606804619542E-2</c:v>
                </c:pt>
                <c:pt idx="8">
                  <c:v>1.4272581262497452E-2</c:v>
                </c:pt>
                <c:pt idx="9">
                  <c:v>1.8003132051740506E-2</c:v>
                </c:pt>
                <c:pt idx="10">
                  <c:v>2.3527521173513588E-2</c:v>
                </c:pt>
                <c:pt idx="11">
                  <c:v>3.4175569004741564E-2</c:v>
                </c:pt>
                <c:pt idx="12">
                  <c:v>4.8901001941138403E-2</c:v>
                </c:pt>
                <c:pt idx="13">
                  <c:v>7.5630892552127932E-2</c:v>
                </c:pt>
                <c:pt idx="14">
                  <c:v>0.10510944304076733</c:v>
                </c:pt>
                <c:pt idx="15">
                  <c:v>0.15177182848255941</c:v>
                </c:pt>
                <c:pt idx="16">
                  <c:v>0.25153060669660821</c:v>
                </c:pt>
                <c:pt idx="17">
                  <c:v>0.40402458599224833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A6-48C6-AA14-9B953749C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618848"/>
        <c:axId val="1130234784"/>
      </c:scatterChart>
      <c:valAx>
        <c:axId val="119061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0234784"/>
        <c:crosses val="autoZero"/>
        <c:crossBetween val="midCat"/>
      </c:valAx>
      <c:valAx>
        <c:axId val="11302347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061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1998'!$H$3</c:f>
              <c:strCache>
                <c:ptCount val="1"/>
                <c:pt idx="0">
                  <c:v>npx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1998'!$H$4:$H$22</c:f>
              <c:numCache>
                <c:formatCode>0.0000</c:formatCode>
                <c:ptCount val="19"/>
                <c:pt idx="0">
                  <c:v>0.96425802783166104</c:v>
                </c:pt>
                <c:pt idx="1">
                  <c:v>0.97767084572238028</c:v>
                </c:pt>
                <c:pt idx="2">
                  <c:v>0.99551462791969692</c:v>
                </c:pt>
                <c:pt idx="3">
                  <c:v>0.99648689527792444</c:v>
                </c:pt>
                <c:pt idx="4">
                  <c:v>0.99491637038230463</c:v>
                </c:pt>
                <c:pt idx="5">
                  <c:v>0.992722055587554</c:v>
                </c:pt>
                <c:pt idx="6">
                  <c:v>0.9905790707309996</c:v>
                </c:pt>
                <c:pt idx="7">
                  <c:v>0.98833239319538047</c:v>
                </c:pt>
                <c:pt idx="8">
                  <c:v>0.98572741873750258</c:v>
                </c:pt>
                <c:pt idx="9">
                  <c:v>0.98199686794825947</c:v>
                </c:pt>
                <c:pt idx="10">
                  <c:v>0.97647247882648647</c:v>
                </c:pt>
                <c:pt idx="11">
                  <c:v>0.96582443099525839</c:v>
                </c:pt>
                <c:pt idx="12">
                  <c:v>0.95109899805886156</c:v>
                </c:pt>
                <c:pt idx="13">
                  <c:v>0.92436910744787204</c:v>
                </c:pt>
                <c:pt idx="14">
                  <c:v>0.8948905569592327</c:v>
                </c:pt>
                <c:pt idx="15">
                  <c:v>0.84822817151744057</c:v>
                </c:pt>
                <c:pt idx="16">
                  <c:v>0.74846939330339179</c:v>
                </c:pt>
                <c:pt idx="17">
                  <c:v>0.59597541400775167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94-489E-8F1F-7A213DA52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703280"/>
        <c:axId val="1188696208"/>
      </c:scatterChart>
      <c:valAx>
        <c:axId val="118870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8696208"/>
        <c:crosses val="autoZero"/>
        <c:crossBetween val="midCat"/>
      </c:valAx>
      <c:valAx>
        <c:axId val="118869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870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1998'!$I$3</c:f>
              <c:strCache>
                <c:ptCount val="1"/>
                <c:pt idx="0">
                  <c:v>lx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1998'!$I$4:$I$22</c:f>
              <c:numCache>
                <c:formatCode>0</c:formatCode>
                <c:ptCount val="19"/>
                <c:pt idx="0">
                  <c:v>100000</c:v>
                </c:pt>
                <c:pt idx="1">
                  <c:v>96425.802783166102</c:v>
                </c:pt>
                <c:pt idx="2">
                  <c:v>94272.696156477454</c:v>
                </c:pt>
                <c:pt idx="3">
                  <c:v>93849.84803720229</c:v>
                </c:pt>
                <c:pt idx="4">
                  <c:v>93520.143692896716</c:v>
                </c:pt>
                <c:pt idx="5">
                  <c:v>93044.72192056838</c:v>
                </c:pt>
                <c:pt idx="6">
                  <c:v>92367.54760655899</c:v>
                </c:pt>
                <c:pt idx="7">
                  <c:v>91497.359473806573</c:v>
                </c:pt>
                <c:pt idx="8">
                  <c:v>90429.804259805271</c:v>
                </c:pt>
                <c:pt idx="9">
                  <c:v>89139.137529955464</c:v>
                </c:pt>
                <c:pt idx="10">
                  <c:v>87534.353866025413</c:v>
                </c:pt>
                <c:pt idx="11">
                  <c:v>85474.887502032667</c:v>
                </c:pt>
                <c:pt idx="12">
                  <c:v>82553.734586034421</c:v>
                </c:pt>
                <c:pt idx="13">
                  <c:v>78516.774250794522</c:v>
                </c:pt>
                <c:pt idx="14">
                  <c:v>72578.480533892987</c:v>
                </c:pt>
                <c:pt idx="15">
                  <c:v>64949.796868230325</c:v>
                </c:pt>
                <c:pt idx="16">
                  <c:v>55092.247437968195</c:v>
                </c:pt>
                <c:pt idx="17">
                  <c:v>41234.8610156164</c:v>
                </c:pt>
                <c:pt idx="18">
                  <c:v>24574.963365334082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6F-4621-AA1B-2E7140F32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184080"/>
        <c:axId val="1194183248"/>
      </c:scatterChart>
      <c:valAx>
        <c:axId val="119418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4183248"/>
        <c:crosses val="autoZero"/>
        <c:crossBetween val="midCat"/>
      </c:valAx>
      <c:valAx>
        <c:axId val="119418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418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1998'!$J$3</c:f>
              <c:strCache>
                <c:ptCount val="1"/>
                <c:pt idx="0">
                  <c:v>ndx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1998'!$J$4:$J$22</c:f>
              <c:numCache>
                <c:formatCode>0</c:formatCode>
                <c:ptCount val="19"/>
                <c:pt idx="0">
                  <c:v>3574.1972168339021</c:v>
                </c:pt>
                <c:pt idx="1">
                  <c:v>2153.1066266886496</c:v>
                </c:pt>
                <c:pt idx="2">
                  <c:v>422.84811927516245</c:v>
                </c:pt>
                <c:pt idx="3">
                  <c:v>329.70434430556821</c:v>
                </c:pt>
                <c:pt idx="4">
                  <c:v>475.42177232834047</c:v>
                </c:pt>
                <c:pt idx="5">
                  <c:v>677.17431400938767</c:v>
                </c:pt>
                <c:pt idx="6">
                  <c:v>870.18813275241621</c:v>
                </c:pt>
                <c:pt idx="7">
                  <c:v>1067.5552140013058</c:v>
                </c:pt>
                <c:pt idx="8">
                  <c:v>1290.6667298498089</c:v>
                </c:pt>
                <c:pt idx="9">
                  <c:v>1604.7836639300463</c:v>
                </c:pt>
                <c:pt idx="10">
                  <c:v>2059.4663639927439</c:v>
                </c:pt>
                <c:pt idx="11">
                  <c:v>2921.1529159982397</c:v>
                </c:pt>
                <c:pt idx="12">
                  <c:v>4036.9603352398935</c:v>
                </c:pt>
                <c:pt idx="13">
                  <c:v>5938.2937169015258</c:v>
                </c:pt>
                <c:pt idx="14">
                  <c:v>7628.6836656626656</c:v>
                </c:pt>
                <c:pt idx="15">
                  <c:v>9857.5494302621264</c:v>
                </c:pt>
                <c:pt idx="16">
                  <c:v>13857.386422351799</c:v>
                </c:pt>
                <c:pt idx="17">
                  <c:v>16659.897650282317</c:v>
                </c:pt>
                <c:pt idx="18">
                  <c:v>24574.963365334082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46-4F55-9567-CBAE26F39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750240"/>
        <c:axId val="1193750656"/>
      </c:scatterChart>
      <c:valAx>
        <c:axId val="119375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3750656"/>
        <c:crosses val="autoZero"/>
        <c:crossBetween val="midCat"/>
      </c:valAx>
      <c:valAx>
        <c:axId val="11937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375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1998'!$K$3</c:f>
              <c:strCache>
                <c:ptCount val="1"/>
                <c:pt idx="0">
                  <c:v>nLx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1998'!$K$4:$K$22</c:f>
              <c:numCache>
                <c:formatCode>0</c:formatCode>
                <c:ptCount val="19"/>
                <c:pt idx="0">
                  <c:v>96984.05544965803</c:v>
                </c:pt>
                <c:pt idx="1">
                  <c:v>380247.3605052632</c:v>
                </c:pt>
                <c:pt idx="2">
                  <c:v>470306.36048419931</c:v>
                </c:pt>
                <c:pt idx="3">
                  <c:v>468424.97932524746</c:v>
                </c:pt>
                <c:pt idx="4">
                  <c:v>466412.16403366276</c:v>
                </c:pt>
                <c:pt idx="5">
                  <c:v>463530.67381781846</c:v>
                </c:pt>
                <c:pt idx="6">
                  <c:v>459662.26770091389</c:v>
                </c:pt>
                <c:pt idx="7">
                  <c:v>454817.90933402959</c:v>
                </c:pt>
                <c:pt idx="8">
                  <c:v>448922.35447440186</c:v>
                </c:pt>
                <c:pt idx="9">
                  <c:v>441683.72848995216</c:v>
                </c:pt>
                <c:pt idx="10">
                  <c:v>432523.10342014523</c:v>
                </c:pt>
                <c:pt idx="11">
                  <c:v>420071.55522016773</c:v>
                </c:pt>
                <c:pt idx="12">
                  <c:v>402676.27209207235</c:v>
                </c:pt>
                <c:pt idx="13">
                  <c:v>377738.13696171873</c:v>
                </c:pt>
                <c:pt idx="14">
                  <c:v>343820.69350530824</c:v>
                </c:pt>
                <c:pt idx="15">
                  <c:v>300105.11076549633</c:v>
                </c:pt>
                <c:pt idx="16">
                  <c:v>240817.77113396151</c:v>
                </c:pt>
                <c:pt idx="17">
                  <c:v>164524.56095237623</c:v>
                </c:pt>
                <c:pt idx="18">
                  <c:v>140629.5237921584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90-430D-A72F-3FE9A051F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439600"/>
        <c:axId val="1185442096"/>
      </c:scatterChart>
      <c:valAx>
        <c:axId val="118543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5442096"/>
        <c:crosses val="autoZero"/>
        <c:crossBetween val="midCat"/>
      </c:valAx>
      <c:valAx>
        <c:axId val="11854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543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1998'!$L$3</c:f>
              <c:strCache>
                <c:ptCount val="1"/>
                <c:pt idx="0">
                  <c:v>Tx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1998'!$L$4:$L$22</c:f>
              <c:numCache>
                <c:formatCode>0</c:formatCode>
                <c:ptCount val="19"/>
                <c:pt idx="0">
                  <c:v>6973898.5814585518</c:v>
                </c:pt>
                <c:pt idx="1">
                  <c:v>6876914.5260088937</c:v>
                </c:pt>
                <c:pt idx="2">
                  <c:v>6496667.1655036304</c:v>
                </c:pt>
                <c:pt idx="3">
                  <c:v>6026360.8050194308</c:v>
                </c:pt>
                <c:pt idx="4">
                  <c:v>5557935.8256941829</c:v>
                </c:pt>
                <c:pt idx="5">
                  <c:v>5091523.6616605204</c:v>
                </c:pt>
                <c:pt idx="6">
                  <c:v>4627992.9878427023</c:v>
                </c:pt>
                <c:pt idx="7">
                  <c:v>4168330.7201417885</c:v>
                </c:pt>
                <c:pt idx="8">
                  <c:v>3713512.8108077589</c:v>
                </c:pt>
                <c:pt idx="9">
                  <c:v>3264590.4563333569</c:v>
                </c:pt>
                <c:pt idx="10">
                  <c:v>2822906.7278434047</c:v>
                </c:pt>
                <c:pt idx="11">
                  <c:v>2390383.6244232594</c:v>
                </c:pt>
                <c:pt idx="12">
                  <c:v>1970312.0692030916</c:v>
                </c:pt>
                <c:pt idx="13">
                  <c:v>1567635.7971110193</c:v>
                </c:pt>
                <c:pt idx="14">
                  <c:v>1189897.6601493005</c:v>
                </c:pt>
                <c:pt idx="15">
                  <c:v>846076.96664399235</c:v>
                </c:pt>
                <c:pt idx="16">
                  <c:v>545971.85587849608</c:v>
                </c:pt>
                <c:pt idx="17">
                  <c:v>305154.08474453463</c:v>
                </c:pt>
                <c:pt idx="18">
                  <c:v>140629.5237921584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7B-4138-A8A3-4D26C8412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830720"/>
        <c:axId val="1262830304"/>
      </c:scatterChart>
      <c:valAx>
        <c:axId val="126283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2830304"/>
        <c:crosses val="autoZero"/>
        <c:crossBetween val="midCat"/>
      </c:valAx>
      <c:valAx>
        <c:axId val="126283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283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1998'!$M$3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1998'!$M$4:$M$22</c:f>
              <c:numCache>
                <c:formatCode>0.00</c:formatCode>
                <c:ptCount val="19"/>
                <c:pt idx="0">
                  <c:v>69.738985814585519</c:v>
                </c:pt>
                <c:pt idx="1">
                  <c:v>71.318198319521343</c:v>
                </c:pt>
                <c:pt idx="2">
                  <c:v>68.913560663632779</c:v>
                </c:pt>
                <c:pt idx="3">
                  <c:v>64.212792359882869</c:v>
                </c:pt>
                <c:pt idx="4">
                  <c:v>59.430360200743934</c:v>
                </c:pt>
                <c:pt idx="5">
                  <c:v>54.721251851417406</c:v>
                </c:pt>
                <c:pt idx="6">
                  <c:v>50.10410157857293</c:v>
                </c:pt>
                <c:pt idx="7">
                  <c:v>45.556841684978664</c:v>
                </c:pt>
                <c:pt idx="8">
                  <c:v>41.065142639685675</c:v>
                </c:pt>
                <c:pt idx="9">
                  <c:v>36.623536493566384</c:v>
                </c:pt>
                <c:pt idx="10">
                  <c:v>32.249129663582927</c:v>
                </c:pt>
                <c:pt idx="11">
                  <c:v>27.965917174987965</c:v>
                </c:pt>
                <c:pt idx="12">
                  <c:v>23.867025266430627</c:v>
                </c:pt>
                <c:pt idx="13">
                  <c:v>19.965616418521627</c:v>
                </c:pt>
                <c:pt idx="14">
                  <c:v>16.394634489401266</c:v>
                </c:pt>
                <c:pt idx="15">
                  <c:v>13.026629911722544</c:v>
                </c:pt>
                <c:pt idx="16">
                  <c:v>9.9101394709526041</c:v>
                </c:pt>
                <c:pt idx="17">
                  <c:v>7.4003907671464484</c:v>
                </c:pt>
                <c:pt idx="18">
                  <c:v>5.7224713502740405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5B-42EA-A5AF-F4A81F16F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435008"/>
        <c:axId val="1186432928"/>
      </c:scatterChart>
      <c:valAx>
        <c:axId val="11864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6432928"/>
        <c:crosses val="autoZero"/>
        <c:crossBetween val="midCat"/>
      </c:valAx>
      <c:valAx>
        <c:axId val="11864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643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2018'!$E$3</c:f>
              <c:strCache>
                <c:ptCount val="1"/>
                <c:pt idx="0">
                  <c:v>nmx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2018'!$E$4:$E$22</c:f>
              <c:numCache>
                <c:formatCode>0.0000</c:formatCode>
                <c:ptCount val="19"/>
                <c:pt idx="0">
                  <c:v>1.8372269446983992E-2</c:v>
                </c:pt>
                <c:pt idx="1">
                  <c:v>5.0804573164989295E-3</c:v>
                </c:pt>
                <c:pt idx="2">
                  <c:v>3.2531860234733114E-4</c:v>
                </c:pt>
                <c:pt idx="3">
                  <c:v>4.1764019613309365E-4</c:v>
                </c:pt>
                <c:pt idx="4">
                  <c:v>6.9022374753149147E-4</c:v>
                </c:pt>
                <c:pt idx="5">
                  <c:v>1.0050227928956727E-3</c:v>
                </c:pt>
                <c:pt idx="6">
                  <c:v>1.2487840786602519E-3</c:v>
                </c:pt>
                <c:pt idx="7">
                  <c:v>1.4960103853254012E-3</c:v>
                </c:pt>
                <c:pt idx="8">
                  <c:v>1.7982799061767006E-3</c:v>
                </c:pt>
                <c:pt idx="9">
                  <c:v>2.3473079378591188E-3</c:v>
                </c:pt>
                <c:pt idx="10">
                  <c:v>3.2600491416274551E-3</c:v>
                </c:pt>
                <c:pt idx="11">
                  <c:v>4.7291200160422446E-3</c:v>
                </c:pt>
                <c:pt idx="12">
                  <c:v>7.0354946806780103E-3</c:v>
                </c:pt>
                <c:pt idx="13">
                  <c:v>1.0363517338313727E-2</c:v>
                </c:pt>
                <c:pt idx="14">
                  <c:v>1.3906142806815864E-2</c:v>
                </c:pt>
                <c:pt idx="15">
                  <c:v>2.1657174220134783E-2</c:v>
                </c:pt>
                <c:pt idx="16">
                  <c:v>3.8389580484996765E-2</c:v>
                </c:pt>
                <c:pt idx="17">
                  <c:v>6.9034781689396349E-2</c:v>
                </c:pt>
                <c:pt idx="18">
                  <c:v>0.13343751356513434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B4-4203-B5EC-F23F963F7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735376"/>
        <c:axId val="1116733296"/>
      </c:scatterChart>
      <c:valAx>
        <c:axId val="111673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6733296"/>
        <c:crosses val="autoZero"/>
        <c:crossBetween val="midCat"/>
      </c:valAx>
      <c:valAx>
        <c:axId val="1116733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673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2018'!$F$3</c:f>
              <c:strCache>
                <c:ptCount val="1"/>
                <c:pt idx="0">
                  <c:v>nax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2018'!$F$4:$F$22</c:f>
              <c:numCache>
                <c:formatCode>0.0000</c:formatCode>
                <c:ptCount val="19"/>
                <c:pt idx="0">
                  <c:v>0.10444235445155517</c:v>
                </c:pt>
                <c:pt idx="1">
                  <c:v>1.4941108949794784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1F-4A7A-8FD0-E4DA3C092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529792"/>
        <c:axId val="1197531040"/>
      </c:scatterChart>
      <c:valAx>
        <c:axId val="119752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7531040"/>
        <c:crosses val="autoZero"/>
        <c:crossBetween val="midCat"/>
      </c:valAx>
      <c:valAx>
        <c:axId val="11975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752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2018'!$G$3</c:f>
              <c:strCache>
                <c:ptCount val="1"/>
                <c:pt idx="0">
                  <c:v>nqx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2018'!$G$4:$G$22</c:f>
              <c:numCache>
                <c:formatCode>0.0000</c:formatCode>
                <c:ptCount val="19"/>
                <c:pt idx="0">
                  <c:v>1.8074875808730396E-2</c:v>
                </c:pt>
                <c:pt idx="1">
                  <c:v>2.0066363139945493E-2</c:v>
                </c:pt>
                <c:pt idx="2">
                  <c:v>1.6252711843613263E-3</c:v>
                </c:pt>
                <c:pt idx="3">
                  <c:v>2.0860229630668848E-3</c:v>
                </c:pt>
                <c:pt idx="4">
                  <c:v>3.4451738855819469E-3</c:v>
                </c:pt>
                <c:pt idx="5">
                  <c:v>5.0125197230496028E-3</c:v>
                </c:pt>
                <c:pt idx="6">
                  <c:v>6.2244877901757936E-3</c:v>
                </c:pt>
                <c:pt idx="7">
                  <c:v>7.4521805777827965E-3</c:v>
                </c:pt>
                <c:pt idx="8">
                  <c:v>8.9511578128040475E-3</c:v>
                </c:pt>
                <c:pt idx="9">
                  <c:v>1.1668068315852388E-2</c:v>
                </c:pt>
                <c:pt idx="10">
                  <c:v>1.6168470685686526E-2</c:v>
                </c:pt>
                <c:pt idx="11">
                  <c:v>2.3369309408005016E-2</c:v>
                </c:pt>
                <c:pt idx="12">
                  <c:v>3.4569440614496787E-2</c:v>
                </c:pt>
                <c:pt idx="13">
                  <c:v>5.0508960472574325E-2</c:v>
                </c:pt>
                <c:pt idx="14">
                  <c:v>6.7194667431192651E-2</c:v>
                </c:pt>
                <c:pt idx="15">
                  <c:v>0.10272408745417533</c:v>
                </c:pt>
                <c:pt idx="16">
                  <c:v>0.17513911002412882</c:v>
                </c:pt>
                <c:pt idx="17">
                  <c:v>0.29436956227741973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22-4D34-A353-D67A90433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752736"/>
        <c:axId val="1193756064"/>
      </c:scatterChart>
      <c:valAx>
        <c:axId val="119375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3756064"/>
        <c:crosses val="autoZero"/>
        <c:crossBetween val="midCat"/>
      </c:valAx>
      <c:valAx>
        <c:axId val="11937560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375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2018'!$H$3</c:f>
              <c:strCache>
                <c:ptCount val="1"/>
                <c:pt idx="0">
                  <c:v>npx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2018'!$H$4:$H$22</c:f>
              <c:numCache>
                <c:formatCode>0.0000</c:formatCode>
                <c:ptCount val="19"/>
                <c:pt idx="0">
                  <c:v>0.98192512419126965</c:v>
                </c:pt>
                <c:pt idx="1">
                  <c:v>0.97993363686005452</c:v>
                </c:pt>
                <c:pt idx="2">
                  <c:v>0.99837472881563871</c:v>
                </c:pt>
                <c:pt idx="3">
                  <c:v>0.99791397703693308</c:v>
                </c:pt>
                <c:pt idx="4">
                  <c:v>0.99655482611441804</c:v>
                </c:pt>
                <c:pt idx="5">
                  <c:v>0.99498748027695039</c:v>
                </c:pt>
                <c:pt idx="6">
                  <c:v>0.99377551220982419</c:v>
                </c:pt>
                <c:pt idx="7">
                  <c:v>0.99254781942221726</c:v>
                </c:pt>
                <c:pt idx="8">
                  <c:v>0.99104884218719591</c:v>
                </c:pt>
                <c:pt idx="9">
                  <c:v>0.98833193168414757</c:v>
                </c:pt>
                <c:pt idx="10">
                  <c:v>0.9838315293143135</c:v>
                </c:pt>
                <c:pt idx="11">
                  <c:v>0.97663069059199503</c:v>
                </c:pt>
                <c:pt idx="12">
                  <c:v>0.96543055938550326</c:v>
                </c:pt>
                <c:pt idx="13">
                  <c:v>0.94949103952742564</c:v>
                </c:pt>
                <c:pt idx="14">
                  <c:v>0.93280533256880738</c:v>
                </c:pt>
                <c:pt idx="15">
                  <c:v>0.89727591254582473</c:v>
                </c:pt>
                <c:pt idx="16">
                  <c:v>0.82486088997587115</c:v>
                </c:pt>
                <c:pt idx="17">
                  <c:v>0.70563043772258027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00-450C-A923-9F56BC482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830720"/>
        <c:axId val="1262834048"/>
      </c:scatterChart>
      <c:valAx>
        <c:axId val="126283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2834048"/>
        <c:crosses val="autoZero"/>
        <c:crossBetween val="midCat"/>
      </c:valAx>
      <c:valAx>
        <c:axId val="12628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283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2018'!$I$3</c:f>
              <c:strCache>
                <c:ptCount val="1"/>
                <c:pt idx="0">
                  <c:v>lx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2018'!$I$4:$I$22</c:f>
              <c:numCache>
                <c:formatCode>0</c:formatCode>
                <c:ptCount val="19"/>
                <c:pt idx="0">
                  <c:v>100000</c:v>
                </c:pt>
                <c:pt idx="1">
                  <c:v>98192.512419126972</c:v>
                </c:pt>
                <c:pt idx="2">
                  <c:v>96222.14580730116</c:v>
                </c:pt>
                <c:pt idx="3">
                  <c:v>96065.758726423141</c:v>
                </c:pt>
                <c:pt idx="4">
                  <c:v>95865.363347755381</c:v>
                </c:pt>
                <c:pt idx="5">
                  <c:v>95535.090501417872</c:v>
                </c:pt>
                <c:pt idx="6">
                  <c:v>95056.21897603618</c:v>
                </c:pt>
                <c:pt idx="7">
                  <c:v>94464.54270163957</c:v>
                </c:pt>
                <c:pt idx="8">
                  <c:v>93760.575871229288</c:v>
                </c:pt>
                <c:pt idx="9">
                  <c:v>92921.310159986519</c:v>
                </c:pt>
                <c:pt idx="10">
                  <c:v>91837.097965041277</c:v>
                </c:pt>
                <c:pt idx="11">
                  <c:v>90352.232538734985</c:v>
                </c:pt>
                <c:pt idx="12">
                  <c:v>88240.763260833279</c:v>
                </c:pt>
                <c:pt idx="13">
                  <c:v>85190.329435510037</c:v>
                </c:pt>
                <c:pt idx="14">
                  <c:v>80887.454453406273</c:v>
                </c:pt>
                <c:pt idx="15">
                  <c:v>75452.248852053905</c:v>
                </c:pt>
                <c:pt idx="16">
                  <c:v>67701.485442361329</c:v>
                </c:pt>
                <c:pt idx="17">
                  <c:v>55844.307534674648</c:v>
                </c:pt>
                <c:pt idx="18">
                  <c:v>39405.44317000686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47-4859-BC2C-C6AC66F53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751392"/>
        <c:axId val="1183755136"/>
      </c:scatterChart>
      <c:valAx>
        <c:axId val="118375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3755136"/>
        <c:crosses val="autoZero"/>
        <c:crossBetween val="midCat"/>
      </c:valAx>
      <c:valAx>
        <c:axId val="118375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37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2018'!$J$3</c:f>
              <c:strCache>
                <c:ptCount val="1"/>
                <c:pt idx="0">
                  <c:v>ndx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2018'!$J$4:$J$22</c:f>
              <c:numCache>
                <c:formatCode>0</c:formatCode>
                <c:ptCount val="19"/>
                <c:pt idx="0">
                  <c:v>1807.4875808730396</c:v>
                </c:pt>
                <c:pt idx="1">
                  <c:v>1970.3666118258095</c:v>
                </c:pt>
                <c:pt idx="2">
                  <c:v>156.38708087802058</c:v>
                </c:pt>
                <c:pt idx="3">
                  <c:v>200.39537866776163</c:v>
                </c:pt>
                <c:pt idx="4">
                  <c:v>330.27284633751157</c:v>
                </c:pt>
                <c:pt idx="5">
                  <c:v>478.87152538168584</c:v>
                </c:pt>
                <c:pt idx="6">
                  <c:v>591.67627439661374</c:v>
                </c:pt>
                <c:pt idx="7">
                  <c:v>703.966830410292</c:v>
                </c:pt>
                <c:pt idx="8">
                  <c:v>839.26571124276074</c:v>
                </c:pt>
                <c:pt idx="9">
                  <c:v>1084.2121949452312</c:v>
                </c:pt>
                <c:pt idx="10">
                  <c:v>1484.8654263062915</c:v>
                </c:pt>
                <c:pt idx="11">
                  <c:v>2111.4692779017164</c:v>
                </c:pt>
                <c:pt idx="12">
                  <c:v>3050.4338253232459</c:v>
                </c:pt>
                <c:pt idx="13">
                  <c:v>4302.8749821037618</c:v>
                </c:pt>
                <c:pt idx="14">
                  <c:v>5435.205601352377</c:v>
                </c:pt>
                <c:pt idx="15">
                  <c:v>7750.7634096925849</c:v>
                </c:pt>
                <c:pt idx="16">
                  <c:v>11857.177907686677</c:v>
                </c:pt>
                <c:pt idx="17">
                  <c:v>16438.864364667788</c:v>
                </c:pt>
                <c:pt idx="18">
                  <c:v>39405.44317000686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6D-472C-8D22-5B5A6FE80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890624"/>
        <c:axId val="1273888128"/>
      </c:scatterChart>
      <c:valAx>
        <c:axId val="127389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73888128"/>
        <c:crosses val="autoZero"/>
        <c:crossBetween val="midCat"/>
      </c:valAx>
      <c:valAx>
        <c:axId val="12738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7389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2018'!$K$3</c:f>
              <c:strCache>
                <c:ptCount val="1"/>
                <c:pt idx="0">
                  <c:v>nLx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2018'!$K$4:$K$22</c:f>
              <c:numCache>
                <c:formatCode>0</c:formatCode>
                <c:ptCount val="19"/>
                <c:pt idx="0">
                  <c:v>98381.290677715297</c:v>
                </c:pt>
                <c:pt idx="1">
                  <c:v>387832.52945103741</c:v>
                </c:pt>
                <c:pt idx="2">
                  <c:v>480719.76133431075</c:v>
                </c:pt>
                <c:pt idx="3">
                  <c:v>479827.80518544634</c:v>
                </c:pt>
                <c:pt idx="4">
                  <c:v>478501.13462293311</c:v>
                </c:pt>
                <c:pt idx="5">
                  <c:v>476478.27369363513</c:v>
                </c:pt>
                <c:pt idx="6">
                  <c:v>473801.90419418941</c:v>
                </c:pt>
                <c:pt idx="7">
                  <c:v>470562.79643217218</c:v>
                </c:pt>
                <c:pt idx="8">
                  <c:v>466704.71507803944</c:v>
                </c:pt>
                <c:pt idx="9">
                  <c:v>461896.02031256945</c:v>
                </c:pt>
                <c:pt idx="10">
                  <c:v>455473.32625944063</c:v>
                </c:pt>
                <c:pt idx="11">
                  <c:v>446482.48949892068</c:v>
                </c:pt>
                <c:pt idx="12">
                  <c:v>433577.73174085829</c:v>
                </c:pt>
                <c:pt idx="13">
                  <c:v>415194.45972229075</c:v>
                </c:pt>
                <c:pt idx="14">
                  <c:v>390849.25826365047</c:v>
                </c:pt>
                <c:pt idx="15">
                  <c:v>357884.33573603811</c:v>
                </c:pt>
                <c:pt idx="16">
                  <c:v>308864.48244258994</c:v>
                </c:pt>
                <c:pt idx="17">
                  <c:v>238124.37676170375</c:v>
                </c:pt>
                <c:pt idx="18">
                  <c:v>295310.0827285127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A0-468C-BC0A-D31312197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332192"/>
        <c:axId val="1022332608"/>
      </c:scatterChart>
      <c:valAx>
        <c:axId val="102233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2332608"/>
        <c:crosses val="autoZero"/>
        <c:crossBetween val="midCat"/>
      </c:valAx>
      <c:valAx>
        <c:axId val="102233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233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2018'!$L$3</c:f>
              <c:strCache>
                <c:ptCount val="1"/>
                <c:pt idx="0">
                  <c:v>Tx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2018'!$L$4:$L$22</c:f>
              <c:numCache>
                <c:formatCode>0</c:formatCode>
                <c:ptCount val="19"/>
                <c:pt idx="0">
                  <c:v>7616466.7741360543</c:v>
                </c:pt>
                <c:pt idx="1">
                  <c:v>7518085.4834583392</c:v>
                </c:pt>
                <c:pt idx="2">
                  <c:v>7130252.9540073015</c:v>
                </c:pt>
                <c:pt idx="3">
                  <c:v>6649533.1926729903</c:v>
                </c:pt>
                <c:pt idx="4">
                  <c:v>6169705.3874875437</c:v>
                </c:pt>
                <c:pt idx="5">
                  <c:v>5691204.2528646104</c:v>
                </c:pt>
                <c:pt idx="6">
                  <c:v>5214725.9791709753</c:v>
                </c:pt>
                <c:pt idx="7">
                  <c:v>4740924.074976786</c:v>
                </c:pt>
                <c:pt idx="8">
                  <c:v>4270361.2785446141</c:v>
                </c:pt>
                <c:pt idx="9">
                  <c:v>3803656.563466575</c:v>
                </c:pt>
                <c:pt idx="10">
                  <c:v>3341760.5431540054</c:v>
                </c:pt>
                <c:pt idx="11">
                  <c:v>2886287.2168945647</c:v>
                </c:pt>
                <c:pt idx="12">
                  <c:v>2439804.7273956439</c:v>
                </c:pt>
                <c:pt idx="13">
                  <c:v>2006226.9956547855</c:v>
                </c:pt>
                <c:pt idx="14">
                  <c:v>1591032.5359324948</c:v>
                </c:pt>
                <c:pt idx="15">
                  <c:v>1200183.2776688444</c:v>
                </c:pt>
                <c:pt idx="16">
                  <c:v>842298.9419328064</c:v>
                </c:pt>
                <c:pt idx="17">
                  <c:v>533434.45949021645</c:v>
                </c:pt>
                <c:pt idx="18">
                  <c:v>295310.0827285127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1E-4C92-80FF-A9E7FC03E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502096"/>
        <c:axId val="1364490448"/>
      </c:scatterChart>
      <c:valAx>
        <c:axId val="136450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64490448"/>
        <c:crosses val="autoZero"/>
        <c:crossBetween val="midCat"/>
      </c:valAx>
      <c:valAx>
        <c:axId val="136449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6450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'tabla mortalidad 2018'!$M$3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'tabla mortalidad 2018'!$M$4:$M$22</c:f>
              <c:numCache>
                <c:formatCode>0.00</c:formatCode>
                <c:ptCount val="19"/>
                <c:pt idx="0">
                  <c:v>76.164667741360546</c:v>
                </c:pt>
                <c:pt idx="1">
                  <c:v>76.564753240735769</c:v>
                </c:pt>
                <c:pt idx="2">
                  <c:v>74.101994859755777</c:v>
                </c:pt>
                <c:pt idx="3">
                  <c:v>69.218556963772969</c:v>
                </c:pt>
                <c:pt idx="4">
                  <c:v>64.35802433780691</c:v>
                </c:pt>
                <c:pt idx="5">
                  <c:v>59.571872732775034</c:v>
                </c:pt>
                <c:pt idx="6">
                  <c:v>54.859387795401538</c:v>
                </c:pt>
                <c:pt idx="7">
                  <c:v>50.187339496796191</c:v>
                </c:pt>
                <c:pt idx="8">
                  <c:v>45.545382362087082</c:v>
                </c:pt>
                <c:pt idx="9">
                  <c:v>40.934168458426385</c:v>
                </c:pt>
                <c:pt idx="10">
                  <c:v>36.387915310935462</c:v>
                </c:pt>
                <c:pt idx="11">
                  <c:v>31.94483562602819</c:v>
                </c:pt>
                <c:pt idx="12">
                  <c:v>27.649406433438916</c:v>
                </c:pt>
                <c:pt idx="13">
                  <c:v>23.549938225952278</c:v>
                </c:pt>
                <c:pt idx="14">
                  <c:v>19.669707084786303</c:v>
                </c:pt>
                <c:pt idx="15">
                  <c:v>15.906527584381919</c:v>
                </c:pt>
                <c:pt idx="16">
                  <c:v>12.44136574595413</c:v>
                </c:pt>
                <c:pt idx="17">
                  <c:v>9.5521725138949609</c:v>
                </c:pt>
                <c:pt idx="18">
                  <c:v>7.4941444372153549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7F-4224-BEDE-497ADCDD7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980592"/>
        <c:axId val="1265973520"/>
      </c:scatterChart>
      <c:valAx>
        <c:axId val="12659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5973520"/>
        <c:crosses val="autoZero"/>
        <c:crossBetween val="midCat"/>
      </c:valAx>
      <c:valAx>
        <c:axId val="126597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598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nmx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'tabla mortalidad 1998'!$E$3</c:f>
              <c:strCache>
                <c:ptCount val="1"/>
                <c:pt idx="0">
                  <c:v>nmx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1998'!$E$4:$E$22</c:f>
              <c:numCache>
                <c:formatCode>0.0000</c:formatCode>
                <c:ptCount val="19"/>
                <c:pt idx="0">
                  <c:v>3.6853451840742804E-2</c:v>
                </c:pt>
                <c:pt idx="1">
                  <c:v>5.6623841486438077E-3</c:v>
                </c:pt>
                <c:pt idx="2">
                  <c:v>8.9909079443412847E-4</c:v>
                </c:pt>
                <c:pt idx="3">
                  <c:v>7.0385730662890283E-4</c:v>
                </c:pt>
                <c:pt idx="4">
                  <c:v>1.0193168381732588E-3</c:v>
                </c:pt>
                <c:pt idx="5">
                  <c:v>1.4609050754546995E-3</c:v>
                </c:pt>
                <c:pt idx="6">
                  <c:v>1.8931032497072767E-3</c:v>
                </c:pt>
                <c:pt idx="7">
                  <c:v>2.3472145491466711E-3</c:v>
                </c:pt>
                <c:pt idx="8">
                  <c:v>2.8750333258875495E-3</c:v>
                </c:pt>
                <c:pt idx="9">
                  <c:v>3.633332089041522E-3</c:v>
                </c:pt>
                <c:pt idx="10">
                  <c:v>4.7615175876332665E-3</c:v>
                </c:pt>
                <c:pt idx="11">
                  <c:v>6.9539412504786386E-3</c:v>
                </c:pt>
                <c:pt idx="12">
                  <c:v>1.0025324597017325E-2</c:v>
                </c:pt>
                <c:pt idx="13">
                  <c:v>1.5720662373847973E-2</c:v>
                </c:pt>
                <c:pt idx="14">
                  <c:v>2.2187971258759868E-2</c:v>
                </c:pt>
                <c:pt idx="15">
                  <c:v>3.2846989526829046E-2</c:v>
                </c:pt>
                <c:pt idx="16">
                  <c:v>5.7543039108368992E-2</c:v>
                </c:pt>
                <c:pt idx="17">
                  <c:v>0.10126085463376343</c:v>
                </c:pt>
                <c:pt idx="18">
                  <c:v>0.17474967348715717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79C-426F-A315-6A57C233D90B}"/>
            </c:ext>
          </c:extLst>
        </c:ser>
        <c:ser>
          <c:idx val="0"/>
          <c:order val="1"/>
          <c:tx>
            <c:strRef>
              <c:f>'tabla mortalidad 2018'!$E$3</c:f>
              <c:strCache>
                <c:ptCount val="1"/>
                <c:pt idx="0">
                  <c:v>nmx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2018'!$E$4:$E$22</c:f>
              <c:numCache>
                <c:formatCode>0.0000</c:formatCode>
                <c:ptCount val="19"/>
                <c:pt idx="0">
                  <c:v>1.8372269446983992E-2</c:v>
                </c:pt>
                <c:pt idx="1">
                  <c:v>5.0804573164989295E-3</c:v>
                </c:pt>
                <c:pt idx="2">
                  <c:v>3.2531860234733114E-4</c:v>
                </c:pt>
                <c:pt idx="3">
                  <c:v>4.1764019613309365E-4</c:v>
                </c:pt>
                <c:pt idx="4">
                  <c:v>6.9022374753149147E-4</c:v>
                </c:pt>
                <c:pt idx="5">
                  <c:v>1.0050227928956727E-3</c:v>
                </c:pt>
                <c:pt idx="6">
                  <c:v>1.2487840786602519E-3</c:v>
                </c:pt>
                <c:pt idx="7">
                  <c:v>1.4960103853254012E-3</c:v>
                </c:pt>
                <c:pt idx="8">
                  <c:v>1.7982799061767006E-3</c:v>
                </c:pt>
                <c:pt idx="9">
                  <c:v>2.3473079378591188E-3</c:v>
                </c:pt>
                <c:pt idx="10">
                  <c:v>3.2600491416274551E-3</c:v>
                </c:pt>
                <c:pt idx="11">
                  <c:v>4.7291200160422446E-3</c:v>
                </c:pt>
                <c:pt idx="12">
                  <c:v>7.0354946806780103E-3</c:v>
                </c:pt>
                <c:pt idx="13">
                  <c:v>1.0363517338313727E-2</c:v>
                </c:pt>
                <c:pt idx="14">
                  <c:v>1.3906142806815864E-2</c:v>
                </c:pt>
                <c:pt idx="15">
                  <c:v>2.1657174220134783E-2</c:v>
                </c:pt>
                <c:pt idx="16">
                  <c:v>3.8389580484996765E-2</c:v>
                </c:pt>
                <c:pt idx="17">
                  <c:v>6.9034781689396349E-2</c:v>
                </c:pt>
                <c:pt idx="18">
                  <c:v>0.13343751356513434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9C-426F-A315-6A57C233D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735376"/>
        <c:axId val="1116733296"/>
      </c:scatterChart>
      <c:valAx>
        <c:axId val="111673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6733296"/>
        <c:crosses val="autoZero"/>
        <c:crossBetween val="midCat"/>
      </c:valAx>
      <c:valAx>
        <c:axId val="1116733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67353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nax</a:t>
            </a:r>
            <a:endParaRPr lang="es-MX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'tabla mortalidad 2018'!$F$3</c:f>
              <c:strCache>
                <c:ptCount val="1"/>
                <c:pt idx="0">
                  <c:v>nax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2018'!$F$4:$F$22</c:f>
              <c:numCache>
                <c:formatCode>0.0000</c:formatCode>
                <c:ptCount val="19"/>
                <c:pt idx="0">
                  <c:v>0.10444235445155517</c:v>
                </c:pt>
                <c:pt idx="1">
                  <c:v>1.4941108949794784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78E-4755-B1AA-7B17880F6D99}"/>
            </c:ext>
          </c:extLst>
        </c:ser>
        <c:ser>
          <c:idx val="0"/>
          <c:order val="1"/>
          <c:tx>
            <c:strRef>
              <c:f>'tabla mortalidad 1998'!$F$3</c:f>
              <c:strCache>
                <c:ptCount val="1"/>
                <c:pt idx="0">
                  <c:v>nax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1998'!$F$4:$F$22</c:f>
              <c:numCache>
                <c:formatCode>0.0000</c:formatCode>
                <c:ptCount val="19"/>
                <c:pt idx="0">
                  <c:v>0.15618966515407984</c:v>
                </c:pt>
                <c:pt idx="1">
                  <c:v>1.4660564601057524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8E-4755-B1AA-7B17880F6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214464"/>
        <c:axId val="1131214880"/>
      </c:scatterChart>
      <c:valAx>
        <c:axId val="113121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1214880"/>
        <c:crosses val="autoZero"/>
        <c:crossBetween val="midCat"/>
      </c:valAx>
      <c:valAx>
        <c:axId val="113121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121446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nqx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'tabla mortalidad 2018'!$G$3</c:f>
              <c:strCache>
                <c:ptCount val="1"/>
                <c:pt idx="0">
                  <c:v>nqx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2018'!$G$4:$G$22</c:f>
              <c:numCache>
                <c:formatCode>0.0000</c:formatCode>
                <c:ptCount val="19"/>
                <c:pt idx="0">
                  <c:v>1.8074875808730396E-2</c:v>
                </c:pt>
                <c:pt idx="1">
                  <c:v>2.0066363139945493E-2</c:v>
                </c:pt>
                <c:pt idx="2">
                  <c:v>1.6252711843613263E-3</c:v>
                </c:pt>
                <c:pt idx="3">
                  <c:v>2.0860229630668848E-3</c:v>
                </c:pt>
                <c:pt idx="4">
                  <c:v>3.4451738855819469E-3</c:v>
                </c:pt>
                <c:pt idx="5">
                  <c:v>5.0125197230496028E-3</c:v>
                </c:pt>
                <c:pt idx="6">
                  <c:v>6.2244877901757936E-3</c:v>
                </c:pt>
                <c:pt idx="7">
                  <c:v>7.4521805777827965E-3</c:v>
                </c:pt>
                <c:pt idx="8">
                  <c:v>8.9511578128040475E-3</c:v>
                </c:pt>
                <c:pt idx="9">
                  <c:v>1.1668068315852388E-2</c:v>
                </c:pt>
                <c:pt idx="10">
                  <c:v>1.6168470685686526E-2</c:v>
                </c:pt>
                <c:pt idx="11">
                  <c:v>2.3369309408005016E-2</c:v>
                </c:pt>
                <c:pt idx="12">
                  <c:v>3.4569440614496787E-2</c:v>
                </c:pt>
                <c:pt idx="13">
                  <c:v>5.0508960472574325E-2</c:v>
                </c:pt>
                <c:pt idx="14">
                  <c:v>6.7194667431192651E-2</c:v>
                </c:pt>
                <c:pt idx="15">
                  <c:v>0.10272408745417533</c:v>
                </c:pt>
                <c:pt idx="16">
                  <c:v>0.17513911002412882</c:v>
                </c:pt>
                <c:pt idx="17">
                  <c:v>0.29436956227741973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6C-480A-A3E3-19D8DD3C2C53}"/>
            </c:ext>
          </c:extLst>
        </c:ser>
        <c:ser>
          <c:idx val="0"/>
          <c:order val="1"/>
          <c:tx>
            <c:strRef>
              <c:f>'tabla mortalidad 1998'!$G$3</c:f>
              <c:strCache>
                <c:ptCount val="1"/>
                <c:pt idx="0">
                  <c:v>nqx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1998'!$G$4:$G$22</c:f>
              <c:numCache>
                <c:formatCode>General</c:formatCode>
                <c:ptCount val="19"/>
                <c:pt idx="0">
                  <c:v>3.574197216833902E-2</c:v>
                </c:pt>
                <c:pt idx="1">
                  <c:v>2.2329154277619726E-2</c:v>
                </c:pt>
                <c:pt idx="2">
                  <c:v>4.4853720803031119E-3</c:v>
                </c:pt>
                <c:pt idx="3">
                  <c:v>3.5131047220755504E-3</c:v>
                </c:pt>
                <c:pt idx="4">
                  <c:v>5.0836296176954114E-3</c:v>
                </c:pt>
                <c:pt idx="5">
                  <c:v>7.2779444124459487E-3</c:v>
                </c:pt>
                <c:pt idx="6">
                  <c:v>9.4209292690003651E-3</c:v>
                </c:pt>
                <c:pt idx="7">
                  <c:v>1.1667606804619542E-2</c:v>
                </c:pt>
                <c:pt idx="8">
                  <c:v>1.4272581262497452E-2</c:v>
                </c:pt>
                <c:pt idx="9">
                  <c:v>1.8003132051740506E-2</c:v>
                </c:pt>
                <c:pt idx="10">
                  <c:v>2.3527521173513588E-2</c:v>
                </c:pt>
                <c:pt idx="11">
                  <c:v>3.4175569004741564E-2</c:v>
                </c:pt>
                <c:pt idx="12">
                  <c:v>4.8901001941138403E-2</c:v>
                </c:pt>
                <c:pt idx="13">
                  <c:v>7.5630892552127932E-2</c:v>
                </c:pt>
                <c:pt idx="14">
                  <c:v>0.10510944304076733</c:v>
                </c:pt>
                <c:pt idx="15">
                  <c:v>0.15177182848255941</c:v>
                </c:pt>
                <c:pt idx="16">
                  <c:v>0.25153060669660821</c:v>
                </c:pt>
                <c:pt idx="17">
                  <c:v>0.40402458599224833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6C-480A-A3E3-19D8DD3C2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618848"/>
        <c:axId val="1130234784"/>
      </c:scatterChart>
      <c:valAx>
        <c:axId val="119061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0234784"/>
        <c:crosses val="autoZero"/>
        <c:crossBetween val="midCat"/>
      </c:valAx>
      <c:valAx>
        <c:axId val="11302347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061884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npx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'tabla mortalidad 2018'!$H$3</c:f>
              <c:strCache>
                <c:ptCount val="1"/>
                <c:pt idx="0">
                  <c:v>npx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2018'!$H$4:$H$22</c:f>
              <c:numCache>
                <c:formatCode>0.0000</c:formatCode>
                <c:ptCount val="19"/>
                <c:pt idx="0">
                  <c:v>0.98192512419126965</c:v>
                </c:pt>
                <c:pt idx="1">
                  <c:v>0.97993363686005452</c:v>
                </c:pt>
                <c:pt idx="2">
                  <c:v>0.99837472881563871</c:v>
                </c:pt>
                <c:pt idx="3">
                  <c:v>0.99791397703693308</c:v>
                </c:pt>
                <c:pt idx="4">
                  <c:v>0.99655482611441804</c:v>
                </c:pt>
                <c:pt idx="5">
                  <c:v>0.99498748027695039</c:v>
                </c:pt>
                <c:pt idx="6">
                  <c:v>0.99377551220982419</c:v>
                </c:pt>
                <c:pt idx="7">
                  <c:v>0.99254781942221726</c:v>
                </c:pt>
                <c:pt idx="8">
                  <c:v>0.99104884218719591</c:v>
                </c:pt>
                <c:pt idx="9">
                  <c:v>0.98833193168414757</c:v>
                </c:pt>
                <c:pt idx="10">
                  <c:v>0.9838315293143135</c:v>
                </c:pt>
                <c:pt idx="11">
                  <c:v>0.97663069059199503</c:v>
                </c:pt>
                <c:pt idx="12">
                  <c:v>0.96543055938550326</c:v>
                </c:pt>
                <c:pt idx="13">
                  <c:v>0.94949103952742564</c:v>
                </c:pt>
                <c:pt idx="14">
                  <c:v>0.93280533256880738</c:v>
                </c:pt>
                <c:pt idx="15">
                  <c:v>0.89727591254582473</c:v>
                </c:pt>
                <c:pt idx="16">
                  <c:v>0.82486088997587115</c:v>
                </c:pt>
                <c:pt idx="17">
                  <c:v>0.70563043772258027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506-4838-A44E-97DE1F25F3FA}"/>
            </c:ext>
          </c:extLst>
        </c:ser>
        <c:ser>
          <c:idx val="0"/>
          <c:order val="1"/>
          <c:tx>
            <c:strRef>
              <c:f>'tabla mortalidad 1998'!$H$3</c:f>
              <c:strCache>
                <c:ptCount val="1"/>
                <c:pt idx="0">
                  <c:v>npx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1998'!$H$4:$H$22</c:f>
              <c:numCache>
                <c:formatCode>0.0000</c:formatCode>
                <c:ptCount val="19"/>
                <c:pt idx="0">
                  <c:v>0.96425802783166104</c:v>
                </c:pt>
                <c:pt idx="1">
                  <c:v>0.97767084572238028</c:v>
                </c:pt>
                <c:pt idx="2">
                  <c:v>0.99551462791969692</c:v>
                </c:pt>
                <c:pt idx="3">
                  <c:v>0.99648689527792444</c:v>
                </c:pt>
                <c:pt idx="4">
                  <c:v>0.99491637038230463</c:v>
                </c:pt>
                <c:pt idx="5">
                  <c:v>0.992722055587554</c:v>
                </c:pt>
                <c:pt idx="6">
                  <c:v>0.9905790707309996</c:v>
                </c:pt>
                <c:pt idx="7">
                  <c:v>0.98833239319538047</c:v>
                </c:pt>
                <c:pt idx="8">
                  <c:v>0.98572741873750258</c:v>
                </c:pt>
                <c:pt idx="9">
                  <c:v>0.98199686794825947</c:v>
                </c:pt>
                <c:pt idx="10">
                  <c:v>0.97647247882648647</c:v>
                </c:pt>
                <c:pt idx="11">
                  <c:v>0.96582443099525839</c:v>
                </c:pt>
                <c:pt idx="12">
                  <c:v>0.95109899805886156</c:v>
                </c:pt>
                <c:pt idx="13">
                  <c:v>0.92436910744787204</c:v>
                </c:pt>
                <c:pt idx="14">
                  <c:v>0.8948905569592327</c:v>
                </c:pt>
                <c:pt idx="15">
                  <c:v>0.84822817151744057</c:v>
                </c:pt>
                <c:pt idx="16">
                  <c:v>0.74846939330339179</c:v>
                </c:pt>
                <c:pt idx="17">
                  <c:v>0.59597541400775167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06-4838-A44E-97DE1F25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703280"/>
        <c:axId val="1188696208"/>
      </c:scatterChart>
      <c:valAx>
        <c:axId val="118870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8696208"/>
        <c:crosses val="autoZero"/>
        <c:crossBetween val="midCat"/>
      </c:valAx>
      <c:valAx>
        <c:axId val="118869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870328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lx</a:t>
            </a:r>
            <a:endParaRPr lang="es-MX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'tabla mortalidad 2018'!$I$3</c:f>
              <c:strCache>
                <c:ptCount val="1"/>
                <c:pt idx="0">
                  <c:v>lx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2018'!$I$4:$I$22</c:f>
              <c:numCache>
                <c:formatCode>0</c:formatCode>
                <c:ptCount val="19"/>
                <c:pt idx="0">
                  <c:v>100000</c:v>
                </c:pt>
                <c:pt idx="1">
                  <c:v>98192.512419126972</c:v>
                </c:pt>
                <c:pt idx="2">
                  <c:v>96222.14580730116</c:v>
                </c:pt>
                <c:pt idx="3">
                  <c:v>96065.758726423141</c:v>
                </c:pt>
                <c:pt idx="4">
                  <c:v>95865.363347755381</c:v>
                </c:pt>
                <c:pt idx="5">
                  <c:v>95535.090501417872</c:v>
                </c:pt>
                <c:pt idx="6">
                  <c:v>95056.21897603618</c:v>
                </c:pt>
                <c:pt idx="7">
                  <c:v>94464.54270163957</c:v>
                </c:pt>
                <c:pt idx="8">
                  <c:v>93760.575871229288</c:v>
                </c:pt>
                <c:pt idx="9">
                  <c:v>92921.310159986519</c:v>
                </c:pt>
                <c:pt idx="10">
                  <c:v>91837.097965041277</c:v>
                </c:pt>
                <c:pt idx="11">
                  <c:v>90352.232538734985</c:v>
                </c:pt>
                <c:pt idx="12">
                  <c:v>88240.763260833279</c:v>
                </c:pt>
                <c:pt idx="13">
                  <c:v>85190.329435510037</c:v>
                </c:pt>
                <c:pt idx="14">
                  <c:v>80887.454453406273</c:v>
                </c:pt>
                <c:pt idx="15">
                  <c:v>75452.248852053905</c:v>
                </c:pt>
                <c:pt idx="16">
                  <c:v>67701.485442361329</c:v>
                </c:pt>
                <c:pt idx="17">
                  <c:v>55844.307534674648</c:v>
                </c:pt>
                <c:pt idx="18">
                  <c:v>39405.44317000686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B3-41F3-AF36-75D480F93C3B}"/>
            </c:ext>
          </c:extLst>
        </c:ser>
        <c:ser>
          <c:idx val="0"/>
          <c:order val="1"/>
          <c:tx>
            <c:strRef>
              <c:f>'tabla mortalidad 1998'!$I$3</c:f>
              <c:strCache>
                <c:ptCount val="1"/>
                <c:pt idx="0">
                  <c:v>lx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1998'!$I$4:$I$22</c:f>
              <c:numCache>
                <c:formatCode>0</c:formatCode>
                <c:ptCount val="19"/>
                <c:pt idx="0">
                  <c:v>100000</c:v>
                </c:pt>
                <c:pt idx="1">
                  <c:v>96425.802783166102</c:v>
                </c:pt>
                <c:pt idx="2">
                  <c:v>94272.696156477454</c:v>
                </c:pt>
                <c:pt idx="3">
                  <c:v>93849.84803720229</c:v>
                </c:pt>
                <c:pt idx="4">
                  <c:v>93520.143692896716</c:v>
                </c:pt>
                <c:pt idx="5">
                  <c:v>93044.72192056838</c:v>
                </c:pt>
                <c:pt idx="6">
                  <c:v>92367.54760655899</c:v>
                </c:pt>
                <c:pt idx="7">
                  <c:v>91497.359473806573</c:v>
                </c:pt>
                <c:pt idx="8">
                  <c:v>90429.804259805271</c:v>
                </c:pt>
                <c:pt idx="9">
                  <c:v>89139.137529955464</c:v>
                </c:pt>
                <c:pt idx="10">
                  <c:v>87534.353866025413</c:v>
                </c:pt>
                <c:pt idx="11">
                  <c:v>85474.887502032667</c:v>
                </c:pt>
                <c:pt idx="12">
                  <c:v>82553.734586034421</c:v>
                </c:pt>
                <c:pt idx="13">
                  <c:v>78516.774250794522</c:v>
                </c:pt>
                <c:pt idx="14">
                  <c:v>72578.480533892987</c:v>
                </c:pt>
                <c:pt idx="15">
                  <c:v>64949.796868230325</c:v>
                </c:pt>
                <c:pt idx="16">
                  <c:v>55092.247437968195</c:v>
                </c:pt>
                <c:pt idx="17">
                  <c:v>41234.8610156164</c:v>
                </c:pt>
                <c:pt idx="18">
                  <c:v>24574.963365334082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B3-41F3-AF36-75D480F93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184080"/>
        <c:axId val="1194183248"/>
      </c:scatterChart>
      <c:valAx>
        <c:axId val="119418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4183248"/>
        <c:crosses val="autoZero"/>
        <c:crossBetween val="midCat"/>
      </c:valAx>
      <c:valAx>
        <c:axId val="119418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418408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ndx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'tabla mortalidad 2018'!$J$3</c:f>
              <c:strCache>
                <c:ptCount val="1"/>
                <c:pt idx="0">
                  <c:v>ndx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2018'!$J$4:$J$22</c:f>
              <c:numCache>
                <c:formatCode>0</c:formatCode>
                <c:ptCount val="19"/>
                <c:pt idx="0">
                  <c:v>1807.4875808730396</c:v>
                </c:pt>
                <c:pt idx="1">
                  <c:v>1970.3666118258095</c:v>
                </c:pt>
                <c:pt idx="2">
                  <c:v>156.38708087802058</c:v>
                </c:pt>
                <c:pt idx="3">
                  <c:v>200.39537866776163</c:v>
                </c:pt>
                <c:pt idx="4">
                  <c:v>330.27284633751157</c:v>
                </c:pt>
                <c:pt idx="5">
                  <c:v>478.87152538168584</c:v>
                </c:pt>
                <c:pt idx="6">
                  <c:v>591.67627439661374</c:v>
                </c:pt>
                <c:pt idx="7">
                  <c:v>703.966830410292</c:v>
                </c:pt>
                <c:pt idx="8">
                  <c:v>839.26571124276074</c:v>
                </c:pt>
                <c:pt idx="9">
                  <c:v>1084.2121949452312</c:v>
                </c:pt>
                <c:pt idx="10">
                  <c:v>1484.8654263062915</c:v>
                </c:pt>
                <c:pt idx="11">
                  <c:v>2111.4692779017164</c:v>
                </c:pt>
                <c:pt idx="12">
                  <c:v>3050.4338253232459</c:v>
                </c:pt>
                <c:pt idx="13">
                  <c:v>4302.8749821037618</c:v>
                </c:pt>
                <c:pt idx="14">
                  <c:v>5435.205601352377</c:v>
                </c:pt>
                <c:pt idx="15">
                  <c:v>7750.7634096925849</c:v>
                </c:pt>
                <c:pt idx="16">
                  <c:v>11857.177907686677</c:v>
                </c:pt>
                <c:pt idx="17">
                  <c:v>16438.864364667788</c:v>
                </c:pt>
                <c:pt idx="18">
                  <c:v>39405.44317000686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07-45F5-A315-D7A30C83425D}"/>
            </c:ext>
          </c:extLst>
        </c:ser>
        <c:ser>
          <c:idx val="0"/>
          <c:order val="1"/>
          <c:tx>
            <c:strRef>
              <c:f>'tabla mortalidad 1998'!$J$3</c:f>
              <c:strCache>
                <c:ptCount val="1"/>
                <c:pt idx="0">
                  <c:v>ndx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1998'!$J$4:$J$22</c:f>
              <c:numCache>
                <c:formatCode>0</c:formatCode>
                <c:ptCount val="19"/>
                <c:pt idx="0">
                  <c:v>3574.1972168339021</c:v>
                </c:pt>
                <c:pt idx="1">
                  <c:v>2153.1066266886496</c:v>
                </c:pt>
                <c:pt idx="2">
                  <c:v>422.84811927516245</c:v>
                </c:pt>
                <c:pt idx="3">
                  <c:v>329.70434430556821</c:v>
                </c:pt>
                <c:pt idx="4">
                  <c:v>475.42177232834047</c:v>
                </c:pt>
                <c:pt idx="5">
                  <c:v>677.17431400938767</c:v>
                </c:pt>
                <c:pt idx="6">
                  <c:v>870.18813275241621</c:v>
                </c:pt>
                <c:pt idx="7">
                  <c:v>1067.5552140013058</c:v>
                </c:pt>
                <c:pt idx="8">
                  <c:v>1290.6667298498089</c:v>
                </c:pt>
                <c:pt idx="9">
                  <c:v>1604.7836639300463</c:v>
                </c:pt>
                <c:pt idx="10">
                  <c:v>2059.4663639927439</c:v>
                </c:pt>
                <c:pt idx="11">
                  <c:v>2921.1529159982397</c:v>
                </c:pt>
                <c:pt idx="12">
                  <c:v>4036.9603352398935</c:v>
                </c:pt>
                <c:pt idx="13">
                  <c:v>5938.2937169015258</c:v>
                </c:pt>
                <c:pt idx="14">
                  <c:v>7628.6836656626656</c:v>
                </c:pt>
                <c:pt idx="15">
                  <c:v>9857.5494302621264</c:v>
                </c:pt>
                <c:pt idx="16">
                  <c:v>13857.386422351799</c:v>
                </c:pt>
                <c:pt idx="17">
                  <c:v>16659.897650282317</c:v>
                </c:pt>
                <c:pt idx="18">
                  <c:v>24574.963365334082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07-45F5-A315-D7A30C834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750240"/>
        <c:axId val="1193750656"/>
      </c:scatterChart>
      <c:valAx>
        <c:axId val="119375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3750656"/>
        <c:crosses val="autoZero"/>
        <c:crossBetween val="midCat"/>
      </c:valAx>
      <c:valAx>
        <c:axId val="11937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375024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nLx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'tabla mortalidad 2018'!$K$3</c:f>
              <c:strCache>
                <c:ptCount val="1"/>
                <c:pt idx="0">
                  <c:v>nLx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2018'!$K$4:$K$22</c:f>
              <c:numCache>
                <c:formatCode>0</c:formatCode>
                <c:ptCount val="19"/>
                <c:pt idx="0">
                  <c:v>98381.290677715297</c:v>
                </c:pt>
                <c:pt idx="1">
                  <c:v>387832.52945103741</c:v>
                </c:pt>
                <c:pt idx="2">
                  <c:v>480719.76133431075</c:v>
                </c:pt>
                <c:pt idx="3">
                  <c:v>479827.80518544634</c:v>
                </c:pt>
                <c:pt idx="4">
                  <c:v>478501.13462293311</c:v>
                </c:pt>
                <c:pt idx="5">
                  <c:v>476478.27369363513</c:v>
                </c:pt>
                <c:pt idx="6">
                  <c:v>473801.90419418941</c:v>
                </c:pt>
                <c:pt idx="7">
                  <c:v>470562.79643217218</c:v>
                </c:pt>
                <c:pt idx="8">
                  <c:v>466704.71507803944</c:v>
                </c:pt>
                <c:pt idx="9">
                  <c:v>461896.02031256945</c:v>
                </c:pt>
                <c:pt idx="10">
                  <c:v>455473.32625944063</c:v>
                </c:pt>
                <c:pt idx="11">
                  <c:v>446482.48949892068</c:v>
                </c:pt>
                <c:pt idx="12">
                  <c:v>433577.73174085829</c:v>
                </c:pt>
                <c:pt idx="13">
                  <c:v>415194.45972229075</c:v>
                </c:pt>
                <c:pt idx="14">
                  <c:v>390849.25826365047</c:v>
                </c:pt>
                <c:pt idx="15">
                  <c:v>357884.33573603811</c:v>
                </c:pt>
                <c:pt idx="16">
                  <c:v>308864.48244258994</c:v>
                </c:pt>
                <c:pt idx="17">
                  <c:v>238124.37676170375</c:v>
                </c:pt>
                <c:pt idx="18">
                  <c:v>295310.0827285127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96-4B7E-9916-1254EFA51831}"/>
            </c:ext>
          </c:extLst>
        </c:ser>
        <c:ser>
          <c:idx val="0"/>
          <c:order val="1"/>
          <c:tx>
            <c:strRef>
              <c:f>'tabla mortalidad 1998'!$K$3</c:f>
              <c:strCache>
                <c:ptCount val="1"/>
                <c:pt idx="0">
                  <c:v>nLx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1998'!$K$4:$K$22</c:f>
              <c:numCache>
                <c:formatCode>0</c:formatCode>
                <c:ptCount val="19"/>
                <c:pt idx="0">
                  <c:v>96984.05544965803</c:v>
                </c:pt>
                <c:pt idx="1">
                  <c:v>380247.3605052632</c:v>
                </c:pt>
                <c:pt idx="2">
                  <c:v>470306.36048419931</c:v>
                </c:pt>
                <c:pt idx="3">
                  <c:v>468424.97932524746</c:v>
                </c:pt>
                <c:pt idx="4">
                  <c:v>466412.16403366276</c:v>
                </c:pt>
                <c:pt idx="5">
                  <c:v>463530.67381781846</c:v>
                </c:pt>
                <c:pt idx="6">
                  <c:v>459662.26770091389</c:v>
                </c:pt>
                <c:pt idx="7">
                  <c:v>454817.90933402959</c:v>
                </c:pt>
                <c:pt idx="8">
                  <c:v>448922.35447440186</c:v>
                </c:pt>
                <c:pt idx="9">
                  <c:v>441683.72848995216</c:v>
                </c:pt>
                <c:pt idx="10">
                  <c:v>432523.10342014523</c:v>
                </c:pt>
                <c:pt idx="11">
                  <c:v>420071.55522016773</c:v>
                </c:pt>
                <c:pt idx="12">
                  <c:v>402676.27209207235</c:v>
                </c:pt>
                <c:pt idx="13">
                  <c:v>377738.13696171873</c:v>
                </c:pt>
                <c:pt idx="14">
                  <c:v>343820.69350530824</c:v>
                </c:pt>
                <c:pt idx="15">
                  <c:v>300105.11076549633</c:v>
                </c:pt>
                <c:pt idx="16">
                  <c:v>240817.77113396151</c:v>
                </c:pt>
                <c:pt idx="17">
                  <c:v>164524.56095237623</c:v>
                </c:pt>
                <c:pt idx="18">
                  <c:v>140629.5237921584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96-4B7E-9916-1254EFA51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439600"/>
        <c:axId val="1185442096"/>
      </c:scatterChart>
      <c:valAx>
        <c:axId val="118543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5442096"/>
        <c:crosses val="autoZero"/>
        <c:crossBetween val="midCat"/>
      </c:valAx>
      <c:valAx>
        <c:axId val="11854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543960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Tx</a:t>
            </a:r>
            <a:endParaRPr lang="es-MX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'tabla mortalidad 2018'!$L$3</c:f>
              <c:strCache>
                <c:ptCount val="1"/>
                <c:pt idx="0">
                  <c:v>Tx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2018'!$L$4:$L$22</c:f>
              <c:numCache>
                <c:formatCode>0</c:formatCode>
                <c:ptCount val="19"/>
                <c:pt idx="0">
                  <c:v>7616466.7741360543</c:v>
                </c:pt>
                <c:pt idx="1">
                  <c:v>7518085.4834583392</c:v>
                </c:pt>
                <c:pt idx="2">
                  <c:v>7130252.9540073015</c:v>
                </c:pt>
                <c:pt idx="3">
                  <c:v>6649533.1926729903</c:v>
                </c:pt>
                <c:pt idx="4">
                  <c:v>6169705.3874875437</c:v>
                </c:pt>
                <c:pt idx="5">
                  <c:v>5691204.2528646104</c:v>
                </c:pt>
                <c:pt idx="6">
                  <c:v>5214725.9791709753</c:v>
                </c:pt>
                <c:pt idx="7">
                  <c:v>4740924.074976786</c:v>
                </c:pt>
                <c:pt idx="8">
                  <c:v>4270361.2785446141</c:v>
                </c:pt>
                <c:pt idx="9">
                  <c:v>3803656.563466575</c:v>
                </c:pt>
                <c:pt idx="10">
                  <c:v>3341760.5431540054</c:v>
                </c:pt>
                <c:pt idx="11">
                  <c:v>2886287.2168945647</c:v>
                </c:pt>
                <c:pt idx="12">
                  <c:v>2439804.7273956439</c:v>
                </c:pt>
                <c:pt idx="13">
                  <c:v>2006226.9956547855</c:v>
                </c:pt>
                <c:pt idx="14">
                  <c:v>1591032.5359324948</c:v>
                </c:pt>
                <c:pt idx="15">
                  <c:v>1200183.2776688444</c:v>
                </c:pt>
                <c:pt idx="16">
                  <c:v>842298.9419328064</c:v>
                </c:pt>
                <c:pt idx="17">
                  <c:v>533434.45949021645</c:v>
                </c:pt>
                <c:pt idx="18">
                  <c:v>295310.0827285127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4F-419C-88D5-FB58224D8106}"/>
            </c:ext>
          </c:extLst>
        </c:ser>
        <c:ser>
          <c:idx val="0"/>
          <c:order val="1"/>
          <c:tx>
            <c:strRef>
              <c:f>'tabla mortalidad 1998'!$L$3</c:f>
              <c:strCache>
                <c:ptCount val="1"/>
                <c:pt idx="0">
                  <c:v>Tx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1998'!$L$4:$L$22</c:f>
              <c:numCache>
                <c:formatCode>0</c:formatCode>
                <c:ptCount val="19"/>
                <c:pt idx="0">
                  <c:v>6973898.5814585518</c:v>
                </c:pt>
                <c:pt idx="1">
                  <c:v>6876914.5260088937</c:v>
                </c:pt>
                <c:pt idx="2">
                  <c:v>6496667.1655036304</c:v>
                </c:pt>
                <c:pt idx="3">
                  <c:v>6026360.8050194308</c:v>
                </c:pt>
                <c:pt idx="4">
                  <c:v>5557935.8256941829</c:v>
                </c:pt>
                <c:pt idx="5">
                  <c:v>5091523.6616605204</c:v>
                </c:pt>
                <c:pt idx="6">
                  <c:v>4627992.9878427023</c:v>
                </c:pt>
                <c:pt idx="7">
                  <c:v>4168330.7201417885</c:v>
                </c:pt>
                <c:pt idx="8">
                  <c:v>3713512.8108077589</c:v>
                </c:pt>
                <c:pt idx="9">
                  <c:v>3264590.4563333569</c:v>
                </c:pt>
                <c:pt idx="10">
                  <c:v>2822906.7278434047</c:v>
                </c:pt>
                <c:pt idx="11">
                  <c:v>2390383.6244232594</c:v>
                </c:pt>
                <c:pt idx="12">
                  <c:v>1970312.0692030916</c:v>
                </c:pt>
                <c:pt idx="13">
                  <c:v>1567635.7971110193</c:v>
                </c:pt>
                <c:pt idx="14">
                  <c:v>1189897.6601493005</c:v>
                </c:pt>
                <c:pt idx="15">
                  <c:v>846076.96664399235</c:v>
                </c:pt>
                <c:pt idx="16">
                  <c:v>545971.85587849608</c:v>
                </c:pt>
                <c:pt idx="17">
                  <c:v>305154.08474453463</c:v>
                </c:pt>
                <c:pt idx="18">
                  <c:v>140629.5237921584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4F-419C-88D5-FB58224D8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830720"/>
        <c:axId val="1262830304"/>
      </c:scatterChart>
      <c:valAx>
        <c:axId val="126283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2830304"/>
        <c:crosses val="autoZero"/>
        <c:crossBetween val="midCat"/>
      </c:valAx>
      <c:valAx>
        <c:axId val="126283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283072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Esperanza</a:t>
            </a:r>
            <a:r>
              <a:rPr lang="es-MX" baseline="0"/>
              <a:t> de vida 2018 vs 1998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'tabla mortalidad 2018'!$M$3</c:f>
              <c:strCache>
                <c:ptCount val="1"/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2018'!$M$4:$M$22</c:f>
              <c:numCache>
                <c:formatCode>0.00</c:formatCode>
                <c:ptCount val="19"/>
                <c:pt idx="0">
                  <c:v>76.164667741360546</c:v>
                </c:pt>
                <c:pt idx="1">
                  <c:v>76.564753240735769</c:v>
                </c:pt>
                <c:pt idx="2">
                  <c:v>74.101994859755777</c:v>
                </c:pt>
                <c:pt idx="3">
                  <c:v>69.218556963772969</c:v>
                </c:pt>
                <c:pt idx="4">
                  <c:v>64.35802433780691</c:v>
                </c:pt>
                <c:pt idx="5">
                  <c:v>59.571872732775034</c:v>
                </c:pt>
                <c:pt idx="6">
                  <c:v>54.859387795401538</c:v>
                </c:pt>
                <c:pt idx="7">
                  <c:v>50.187339496796191</c:v>
                </c:pt>
                <c:pt idx="8">
                  <c:v>45.545382362087082</c:v>
                </c:pt>
                <c:pt idx="9">
                  <c:v>40.934168458426385</c:v>
                </c:pt>
                <c:pt idx="10">
                  <c:v>36.387915310935462</c:v>
                </c:pt>
                <c:pt idx="11">
                  <c:v>31.94483562602819</c:v>
                </c:pt>
                <c:pt idx="12">
                  <c:v>27.649406433438916</c:v>
                </c:pt>
                <c:pt idx="13">
                  <c:v>23.549938225952278</c:v>
                </c:pt>
                <c:pt idx="14">
                  <c:v>19.669707084786303</c:v>
                </c:pt>
                <c:pt idx="15">
                  <c:v>15.906527584381919</c:v>
                </c:pt>
                <c:pt idx="16">
                  <c:v>12.44136574595413</c:v>
                </c:pt>
                <c:pt idx="17">
                  <c:v>9.5521725138949609</c:v>
                </c:pt>
                <c:pt idx="18">
                  <c:v>7.4941444372153549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7B-4730-8952-F70EAFDEDB49}"/>
            </c:ext>
          </c:extLst>
        </c:ser>
        <c:ser>
          <c:idx val="0"/>
          <c:order val="1"/>
          <c:tx>
            <c:strRef>
              <c:f>'tabla mortalidad 1998'!$M$3</c:f>
              <c:strCache>
                <c:ptCount val="1"/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'tabla mortalidad 1998'!$M$4:$M$22</c:f>
              <c:numCache>
                <c:formatCode>0.00</c:formatCode>
                <c:ptCount val="19"/>
                <c:pt idx="0">
                  <c:v>69.738985814585519</c:v>
                </c:pt>
                <c:pt idx="1">
                  <c:v>71.318198319521343</c:v>
                </c:pt>
                <c:pt idx="2">
                  <c:v>68.913560663632779</c:v>
                </c:pt>
                <c:pt idx="3">
                  <c:v>64.212792359882869</c:v>
                </c:pt>
                <c:pt idx="4">
                  <c:v>59.430360200743934</c:v>
                </c:pt>
                <c:pt idx="5">
                  <c:v>54.721251851417406</c:v>
                </c:pt>
                <c:pt idx="6">
                  <c:v>50.10410157857293</c:v>
                </c:pt>
                <c:pt idx="7">
                  <c:v>45.556841684978664</c:v>
                </c:pt>
                <c:pt idx="8">
                  <c:v>41.065142639685675</c:v>
                </c:pt>
                <c:pt idx="9">
                  <c:v>36.623536493566384</c:v>
                </c:pt>
                <c:pt idx="10">
                  <c:v>32.249129663582927</c:v>
                </c:pt>
                <c:pt idx="11">
                  <c:v>27.965917174987965</c:v>
                </c:pt>
                <c:pt idx="12">
                  <c:v>23.867025266430627</c:v>
                </c:pt>
                <c:pt idx="13">
                  <c:v>19.965616418521627</c:v>
                </c:pt>
                <c:pt idx="14">
                  <c:v>16.394634489401266</c:v>
                </c:pt>
                <c:pt idx="15">
                  <c:v>13.026629911722544</c:v>
                </c:pt>
                <c:pt idx="16">
                  <c:v>9.9101394709526041</c:v>
                </c:pt>
                <c:pt idx="17">
                  <c:v>7.4003907671464484</c:v>
                </c:pt>
                <c:pt idx="18">
                  <c:v>5.7224713502740405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7B-4730-8952-F70EAFDED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435008"/>
        <c:axId val="1186432928"/>
      </c:scatterChart>
      <c:valAx>
        <c:axId val="11864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6432928"/>
        <c:crosses val="autoZero"/>
        <c:crossBetween val="midCat"/>
      </c:valAx>
      <c:valAx>
        <c:axId val="11864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643500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13" Type="http://schemas.openxmlformats.org/officeDocument/2006/relationships/chart" Target="../charts/chart22.xml"/><Relationship Id="rId18" Type="http://schemas.openxmlformats.org/officeDocument/2006/relationships/chart" Target="../charts/chart2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17" Type="http://schemas.openxmlformats.org/officeDocument/2006/relationships/chart" Target="../charts/chart26.xml"/><Relationship Id="rId2" Type="http://schemas.openxmlformats.org/officeDocument/2006/relationships/chart" Target="../charts/chart11.xml"/><Relationship Id="rId16" Type="http://schemas.openxmlformats.org/officeDocument/2006/relationships/chart" Target="../charts/chart25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5" Type="http://schemas.openxmlformats.org/officeDocument/2006/relationships/chart" Target="../charts/chart2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1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200025</xdr:colOff>
      <xdr:row>2</xdr:row>
      <xdr:rowOff>19050</xdr:rowOff>
    </xdr:from>
    <xdr:ext cx="17479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73E7F39-F374-49A2-BBEE-03AF6AC6F345}"/>
                </a:ext>
              </a:extLst>
            </xdr:cNvPr>
            <xdr:cNvSpPr txBox="1"/>
          </xdr:nvSpPr>
          <xdr:spPr>
            <a:xfrm>
              <a:off x="7515225" y="200025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73E7F39-F374-49A2-BBEE-03AF6AC6F345}"/>
                </a:ext>
              </a:extLst>
            </xdr:cNvPr>
            <xdr:cNvSpPr txBox="1"/>
          </xdr:nvSpPr>
          <xdr:spPr>
            <a:xfrm>
              <a:off x="7515225" y="200025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0</xdr:col>
      <xdr:colOff>20706</xdr:colOff>
      <xdr:row>23</xdr:row>
      <xdr:rowOff>181390</xdr:rowOff>
    </xdr:from>
    <xdr:to>
      <xdr:col>7</xdr:col>
      <xdr:colOff>31059</xdr:colOff>
      <xdr:row>36</xdr:row>
      <xdr:rowOff>10353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B185FC-1D4F-4BDB-8714-074A67621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53836</xdr:colOff>
      <xdr:row>23</xdr:row>
      <xdr:rowOff>181390</xdr:rowOff>
    </xdr:from>
    <xdr:to>
      <xdr:col>14</xdr:col>
      <xdr:colOff>445190</xdr:colOff>
      <xdr:row>35</xdr:row>
      <xdr:rowOff>144947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4EB4A1-100E-47D6-A45C-D15DC4130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467967</xdr:colOff>
      <xdr:row>24</xdr:row>
      <xdr:rowOff>5384</xdr:rowOff>
    </xdr:from>
    <xdr:to>
      <xdr:col>21</xdr:col>
      <xdr:colOff>248479</xdr:colOff>
      <xdr:row>35</xdr:row>
      <xdr:rowOff>134592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71FA27-AA51-4F9C-A57B-89265E352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302316</xdr:colOff>
      <xdr:row>23</xdr:row>
      <xdr:rowOff>139976</xdr:rowOff>
    </xdr:from>
    <xdr:to>
      <xdr:col>28</xdr:col>
      <xdr:colOff>289891</xdr:colOff>
      <xdr:row>35</xdr:row>
      <xdr:rowOff>144946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83B3D3D-8A0A-4DB3-9FC0-2FCFECD35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171036</xdr:rowOff>
    </xdr:from>
    <xdr:to>
      <xdr:col>7</xdr:col>
      <xdr:colOff>62119</xdr:colOff>
      <xdr:row>48</xdr:row>
      <xdr:rowOff>134593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DB28B12-7E07-4E32-AF09-8006BB2C9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219488</xdr:colOff>
      <xdr:row>36</xdr:row>
      <xdr:rowOff>160682</xdr:rowOff>
    </xdr:from>
    <xdr:to>
      <xdr:col>14</xdr:col>
      <xdr:colOff>341656</xdr:colOff>
      <xdr:row>49</xdr:row>
      <xdr:rowOff>41413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B7C9BA1-9EBA-4198-A064-7CFE92FC2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405847</xdr:colOff>
      <xdr:row>37</xdr:row>
      <xdr:rowOff>5383</xdr:rowOff>
    </xdr:from>
    <xdr:to>
      <xdr:col>21</xdr:col>
      <xdr:colOff>393424</xdr:colOff>
      <xdr:row>49</xdr:row>
      <xdr:rowOff>31060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3CC1CF3-3035-414F-BD42-2D16CB2D7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426555</xdr:colOff>
      <xdr:row>36</xdr:row>
      <xdr:rowOff>181388</xdr:rowOff>
    </xdr:from>
    <xdr:to>
      <xdr:col>28</xdr:col>
      <xdr:colOff>548722</xdr:colOff>
      <xdr:row>49</xdr:row>
      <xdr:rowOff>20707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F6CA836-2ABE-4FD9-A539-605E390BF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157822</xdr:colOff>
      <xdr:row>4</xdr:row>
      <xdr:rowOff>91860</xdr:rowOff>
    </xdr:from>
    <xdr:to>
      <xdr:col>21</xdr:col>
      <xdr:colOff>453925</xdr:colOff>
      <xdr:row>19</xdr:row>
      <xdr:rowOff>45930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5141674-68AE-4849-A2C8-4355B3C6E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0.33306</cdr:x>
      <cdr:y>0.02078</cdr:y>
    </cdr:from>
    <cdr:to>
      <cdr:x>0.8412</cdr:x>
      <cdr:y>0.20177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73E7F39-F374-49A2-BBEE-03AF6AC6F345}"/>
            </a:ext>
          </a:extLst>
        </cdr:cNvPr>
        <cdr:cNvSpPr txBox="1"/>
      </cdr:nvSpPr>
      <cdr:spPr>
        <a:xfrm xmlns:a="http://schemas.openxmlformats.org/drawingml/2006/main">
          <a:off x="1566730" y="57518"/>
          <a:ext cx="2390247" cy="50090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lIns="0" tIns="0" rIns="0" bIns="0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Esperanza</a:t>
          </a:r>
          <a:r>
            <a:rPr lang="en-US" sz="1600" baseline="0"/>
            <a:t> de vida</a:t>
          </a:r>
        </a:p>
        <a:p xmlns:a="http://schemas.openxmlformats.org/drawingml/2006/main">
          <a:endParaRPr lang="en-US" sz="16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219075</xdr:colOff>
      <xdr:row>2</xdr:row>
      <xdr:rowOff>19050</xdr:rowOff>
    </xdr:from>
    <xdr:ext cx="17479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D54115A-A002-4C54-8920-699FF70E00DD}"/>
                </a:ext>
              </a:extLst>
            </xdr:cNvPr>
            <xdr:cNvSpPr txBox="1"/>
          </xdr:nvSpPr>
          <xdr:spPr>
            <a:xfrm>
              <a:off x="7877175" y="200025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D54115A-A002-4C54-8920-699FF70E00DD}"/>
                </a:ext>
              </a:extLst>
            </xdr:cNvPr>
            <xdr:cNvSpPr txBox="1"/>
          </xdr:nvSpPr>
          <xdr:spPr>
            <a:xfrm>
              <a:off x="7877175" y="200025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0</xdr:col>
      <xdr:colOff>0</xdr:colOff>
      <xdr:row>22</xdr:row>
      <xdr:rowOff>166007</xdr:rowOff>
    </xdr:from>
    <xdr:to>
      <xdr:col>5</xdr:col>
      <xdr:colOff>417286</xdr:colOff>
      <xdr:row>33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645AA8-5FB9-4F89-8572-916862DC4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508000</xdr:colOff>
      <xdr:row>22</xdr:row>
      <xdr:rowOff>166007</xdr:rowOff>
    </xdr:from>
    <xdr:to>
      <xdr:col>12</xdr:col>
      <xdr:colOff>0</xdr:colOff>
      <xdr:row>33</xdr:row>
      <xdr:rowOff>136071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35D1B83-9B5A-4A4C-A0AD-67167A931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56931</xdr:colOff>
      <xdr:row>22</xdr:row>
      <xdr:rowOff>150212</xdr:rowOff>
    </xdr:from>
    <xdr:to>
      <xdr:col>18</xdr:col>
      <xdr:colOff>120431</xdr:colOff>
      <xdr:row>33</xdr:row>
      <xdr:rowOff>131379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097EB4-87A3-490F-967B-A5A67970B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188310</xdr:colOff>
      <xdr:row>22</xdr:row>
      <xdr:rowOff>128314</xdr:rowOff>
    </xdr:from>
    <xdr:to>
      <xdr:col>24</xdr:col>
      <xdr:colOff>109483</xdr:colOff>
      <xdr:row>33</xdr:row>
      <xdr:rowOff>175171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BCEE002-3335-4AC3-8AE7-25F68E6E8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34</xdr:row>
      <xdr:rowOff>172108</xdr:rowOff>
    </xdr:from>
    <xdr:to>
      <xdr:col>5</xdr:col>
      <xdr:colOff>416035</xdr:colOff>
      <xdr:row>46</xdr:row>
      <xdr:rowOff>32845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026471F-B675-4FAA-AF24-823F3A42E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494862</xdr:colOff>
      <xdr:row>35</xdr:row>
      <xdr:rowOff>18831</xdr:rowOff>
    </xdr:from>
    <xdr:to>
      <xdr:col>12</xdr:col>
      <xdr:colOff>32845</xdr:colOff>
      <xdr:row>46</xdr:row>
      <xdr:rowOff>32845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6E37C7B-D7D8-4814-A665-64D84608E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95250</xdr:colOff>
      <xdr:row>35</xdr:row>
      <xdr:rowOff>10113</xdr:rowOff>
    </xdr:from>
    <xdr:to>
      <xdr:col>18</xdr:col>
      <xdr:colOff>164629</xdr:colOff>
      <xdr:row>46</xdr:row>
      <xdr:rowOff>35278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D9B23CB-BAF0-4E7D-AB02-00ED849CD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271638</xdr:colOff>
      <xdr:row>35</xdr:row>
      <xdr:rowOff>10112</xdr:rowOff>
    </xdr:from>
    <xdr:to>
      <xdr:col>24</xdr:col>
      <xdr:colOff>129352</xdr:colOff>
      <xdr:row>46</xdr:row>
      <xdr:rowOff>35277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99C6E05-0FD2-498E-B538-AE8FEBE4B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589138</xdr:colOff>
      <xdr:row>2</xdr:row>
      <xdr:rowOff>104187</xdr:rowOff>
    </xdr:from>
    <xdr:to>
      <xdr:col>21</xdr:col>
      <xdr:colOff>35277</xdr:colOff>
      <xdr:row>16</xdr:row>
      <xdr:rowOff>94074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8347DEE-3783-412E-B40D-3E6225D95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49</xdr:row>
      <xdr:rowOff>1</xdr:rowOff>
    </xdr:from>
    <xdr:to>
      <xdr:col>6</xdr:col>
      <xdr:colOff>156380</xdr:colOff>
      <xdr:row>60</xdr:row>
      <xdr:rowOff>28433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8A7CAD4-BF70-41D9-9142-3057D94DE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318027</xdr:colOff>
      <xdr:row>49</xdr:row>
      <xdr:rowOff>10268</xdr:rowOff>
    </xdr:from>
    <xdr:to>
      <xdr:col>12</xdr:col>
      <xdr:colOff>374470</xdr:colOff>
      <xdr:row>59</xdr:row>
      <xdr:rowOff>165145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2C636E6-3A1A-41C8-9834-9445421CC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45261</xdr:colOff>
      <xdr:row>49</xdr:row>
      <xdr:rowOff>6673</xdr:rowOff>
    </xdr:from>
    <xdr:to>
      <xdr:col>19</xdr:col>
      <xdr:colOff>69883</xdr:colOff>
      <xdr:row>59</xdr:row>
      <xdr:rowOff>172653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2C6070F-E636-4474-AA30-772FB7449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295771</xdr:colOff>
      <xdr:row>49</xdr:row>
      <xdr:rowOff>23231</xdr:rowOff>
    </xdr:from>
    <xdr:to>
      <xdr:col>25</xdr:col>
      <xdr:colOff>216943</xdr:colOff>
      <xdr:row>60</xdr:row>
      <xdr:rowOff>70088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370B771-4155-4EF0-B2E0-5CFB52B5E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61</xdr:row>
      <xdr:rowOff>170595</xdr:rowOff>
    </xdr:from>
    <xdr:to>
      <xdr:col>6</xdr:col>
      <xdr:colOff>184814</xdr:colOff>
      <xdr:row>73</xdr:row>
      <xdr:rowOff>71081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ED01BB2-ACC2-4900-9439-BF772FE2C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284329</xdr:colOff>
      <xdr:row>61</xdr:row>
      <xdr:rowOff>156381</xdr:rowOff>
    </xdr:from>
    <xdr:to>
      <xdr:col>12</xdr:col>
      <xdr:colOff>390968</xdr:colOff>
      <xdr:row>72</xdr:row>
      <xdr:rowOff>170396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796622FC-4746-4350-86B6-1A792C40D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86590</xdr:colOff>
      <xdr:row>61</xdr:row>
      <xdr:rowOff>155863</xdr:rowOff>
    </xdr:from>
    <xdr:to>
      <xdr:col>19</xdr:col>
      <xdr:colOff>104014</xdr:colOff>
      <xdr:row>72</xdr:row>
      <xdr:rowOff>181028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E479662D-C550-4C98-9CB9-FADAD3A02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311728</xdr:colOff>
      <xdr:row>61</xdr:row>
      <xdr:rowOff>121227</xdr:rowOff>
    </xdr:from>
    <xdr:to>
      <xdr:col>25</xdr:col>
      <xdr:colOff>242455</xdr:colOff>
      <xdr:row>72</xdr:row>
      <xdr:rowOff>155864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3C0B816-57B5-4DBB-BCC5-CD1E7F692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467097</xdr:colOff>
      <xdr:row>52</xdr:row>
      <xdr:rowOff>161803</xdr:rowOff>
    </xdr:from>
    <xdr:to>
      <xdr:col>32</xdr:col>
      <xdr:colOff>519372</xdr:colOff>
      <xdr:row>66</xdr:row>
      <xdr:rowOff>183357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F4E4CC1D-373A-4AA8-88D3-CDC0706A0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E363-E2C5-417C-A0D3-41941F45D018}">
  <dimension ref="A1:S22"/>
  <sheetViews>
    <sheetView tabSelected="1" zoomScale="94" zoomScaleNormal="100" workbookViewId="0">
      <selection activeCell="A22" sqref="A22"/>
    </sheetView>
  </sheetViews>
  <sheetFormatPr baseColWidth="10" defaultColWidth="8.88671875" defaultRowHeight="14.4" x14ac:dyDescent="0.3"/>
  <cols>
    <col min="1" max="13" width="8.44140625" customWidth="1"/>
    <col min="14" max="14" width="8.6640625"/>
    <col min="19" max="19" width="11" bestFit="1" customWidth="1"/>
  </cols>
  <sheetData>
    <row r="1" spans="1:19" x14ac:dyDescent="0.3">
      <c r="A1" s="7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x14ac:dyDescent="0.3">
      <c r="A2" s="7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ht="15.6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/>
      <c r="Q3" s="16"/>
      <c r="S3" s="16"/>
    </row>
    <row r="4" spans="1:19" x14ac:dyDescent="0.3">
      <c r="A4" s="9">
        <v>0</v>
      </c>
      <c r="B4" s="9">
        <v>1</v>
      </c>
      <c r="C4" s="18">
        <v>181367</v>
      </c>
      <c r="D4" s="9">
        <v>6684</v>
      </c>
      <c r="E4" s="10">
        <f xml:space="preserve"> D4/C4</f>
        <v>3.6853451840742804E-2</v>
      </c>
      <c r="F4" s="14">
        <f>0.053 + 2.8 * E4</f>
        <v>0.15618966515407984</v>
      </c>
      <c r="G4" s="19">
        <f>(B4*E4)/(1+(B4-F4)*E4)</f>
        <v>3.574197216833902E-2</v>
      </c>
      <c r="H4" s="10">
        <f>1-G4</f>
        <v>0.96425802783166104</v>
      </c>
      <c r="I4" s="11">
        <v>100000</v>
      </c>
      <c r="J4" s="11">
        <f>I4*G4</f>
        <v>3574.1972168339021</v>
      </c>
      <c r="K4" s="11">
        <f>(B4*I5)+(F4*J4)</f>
        <v>96984.05544965803</v>
      </c>
      <c r="L4" s="11">
        <f>K4+L5</f>
        <v>6973898.5814585518</v>
      </c>
      <c r="M4" s="13">
        <f>L4/I4</f>
        <v>69.738985814585519</v>
      </c>
      <c r="P4" s="17"/>
      <c r="Q4" s="17"/>
      <c r="S4" s="1"/>
    </row>
    <row r="5" spans="1:19" x14ac:dyDescent="0.3">
      <c r="A5" s="12">
        <v>1</v>
      </c>
      <c r="B5" s="12">
        <v>4</v>
      </c>
      <c r="C5" s="18">
        <v>723017</v>
      </c>
      <c r="D5" s="9">
        <v>4094</v>
      </c>
      <c r="E5" s="10">
        <f t="shared" ref="E5:E22" si="0" xml:space="preserve"> D5/C5</f>
        <v>5.6623841486438077E-3</v>
      </c>
      <c r="F5" s="14">
        <f>1.522 - 1.518 * E4</f>
        <v>1.4660564601057524</v>
      </c>
      <c r="G5" s="19">
        <f t="shared" ref="G5:G21" si="1">(B5*E5)/(1+(B5-F5)*E5)</f>
        <v>2.2329154277619726E-2</v>
      </c>
      <c r="H5" s="10">
        <f t="shared" ref="H5:H22" si="2">1-G5</f>
        <v>0.97767084572238028</v>
      </c>
      <c r="I5" s="11">
        <f>I4*H4</f>
        <v>96425.802783166102</v>
      </c>
      <c r="J5" s="11">
        <f t="shared" ref="J5:J22" si="3">I5*G5</f>
        <v>2153.1066266886496</v>
      </c>
      <c r="K5" s="11">
        <f t="shared" ref="K5:K20" si="4">(B5*I6)+(F5*J5)</f>
        <v>380247.3605052632</v>
      </c>
      <c r="L5" s="11">
        <f t="shared" ref="L5:L20" si="5">K5+L6</f>
        <v>6876914.5260088937</v>
      </c>
      <c r="M5" s="13">
        <f t="shared" ref="M5:M21" si="6">L5/I5</f>
        <v>71.318198319521343</v>
      </c>
      <c r="O5" s="4"/>
      <c r="P5" s="17"/>
      <c r="Q5" s="17"/>
      <c r="S5" s="1"/>
    </row>
    <row r="6" spans="1:19" x14ac:dyDescent="0.3">
      <c r="A6" s="12">
        <v>5</v>
      </c>
      <c r="B6" s="12">
        <v>5</v>
      </c>
      <c r="C6" s="18">
        <v>800809</v>
      </c>
      <c r="D6" s="9">
        <v>720</v>
      </c>
      <c r="E6" s="10">
        <f t="shared" si="0"/>
        <v>8.9909079443412847E-4</v>
      </c>
      <c r="F6" s="10">
        <f>B6 / 2</f>
        <v>2.5</v>
      </c>
      <c r="G6" s="19">
        <f t="shared" si="1"/>
        <v>4.4853720803031119E-3</v>
      </c>
      <c r="H6" s="10">
        <f t="shared" si="2"/>
        <v>0.99551462791969692</v>
      </c>
      <c r="I6" s="11">
        <f t="shared" ref="I6:I22" si="7">I5*H5</f>
        <v>94272.696156477454</v>
      </c>
      <c r="J6" s="11">
        <f t="shared" si="3"/>
        <v>422.84811927516245</v>
      </c>
      <c r="K6" s="11">
        <f t="shared" si="4"/>
        <v>470306.36048419931</v>
      </c>
      <c r="L6" s="11">
        <f t="shared" si="5"/>
        <v>6496667.1655036304</v>
      </c>
      <c r="M6" s="13">
        <f t="shared" si="6"/>
        <v>68.913560663632779</v>
      </c>
      <c r="O6" s="4"/>
      <c r="P6" s="17"/>
      <c r="Q6" s="17"/>
      <c r="S6" s="1"/>
    </row>
    <row r="7" spans="1:19" x14ac:dyDescent="0.3">
      <c r="A7" s="12">
        <v>10</v>
      </c>
      <c r="B7" s="12">
        <v>5</v>
      </c>
      <c r="C7" s="18">
        <v>711792</v>
      </c>
      <c r="D7" s="9">
        <v>501</v>
      </c>
      <c r="E7" s="10">
        <f t="shared" si="0"/>
        <v>7.0385730662890283E-4</v>
      </c>
      <c r="F7" s="10">
        <f t="shared" ref="F7:F21" si="8">B7 / 2</f>
        <v>2.5</v>
      </c>
      <c r="G7" s="19">
        <f t="shared" si="1"/>
        <v>3.5131047220755504E-3</v>
      </c>
      <c r="H7" s="10">
        <f t="shared" si="2"/>
        <v>0.99648689527792444</v>
      </c>
      <c r="I7" s="11">
        <f t="shared" si="7"/>
        <v>93849.84803720229</v>
      </c>
      <c r="J7" s="11">
        <f t="shared" si="3"/>
        <v>329.70434430556821</v>
      </c>
      <c r="K7" s="11">
        <f t="shared" si="4"/>
        <v>468424.97932524746</v>
      </c>
      <c r="L7" s="11">
        <f t="shared" si="5"/>
        <v>6026360.8050194308</v>
      </c>
      <c r="M7" s="13">
        <f t="shared" si="6"/>
        <v>64.212792359882869</v>
      </c>
      <c r="O7" s="4"/>
      <c r="P7" s="17"/>
      <c r="Q7" s="17"/>
      <c r="S7" s="1"/>
    </row>
    <row r="8" spans="1:19" x14ac:dyDescent="0.3">
      <c r="A8" s="9">
        <v>15</v>
      </c>
      <c r="B8" s="12">
        <v>5</v>
      </c>
      <c r="C8" s="18">
        <v>637682</v>
      </c>
      <c r="D8" s="9">
        <v>650</v>
      </c>
      <c r="E8" s="10">
        <f t="shared" si="0"/>
        <v>1.0193168381732588E-3</v>
      </c>
      <c r="F8" s="10">
        <f t="shared" si="8"/>
        <v>2.5</v>
      </c>
      <c r="G8" s="19">
        <f t="shared" si="1"/>
        <v>5.0836296176954114E-3</v>
      </c>
      <c r="H8" s="10">
        <f t="shared" si="2"/>
        <v>0.99491637038230463</v>
      </c>
      <c r="I8" s="11">
        <f t="shared" si="7"/>
        <v>93520.143692896716</v>
      </c>
      <c r="J8" s="11">
        <f t="shared" si="3"/>
        <v>475.42177232834047</v>
      </c>
      <c r="K8" s="11">
        <f t="shared" si="4"/>
        <v>466412.16403366276</v>
      </c>
      <c r="L8" s="11">
        <f t="shared" si="5"/>
        <v>5557935.8256941829</v>
      </c>
      <c r="M8" s="13">
        <f t="shared" si="6"/>
        <v>59.430360200743934</v>
      </c>
      <c r="O8" s="4"/>
      <c r="P8" s="17"/>
      <c r="Q8" s="17"/>
      <c r="S8" s="1"/>
    </row>
    <row r="9" spans="1:19" x14ac:dyDescent="0.3">
      <c r="A9" s="9">
        <v>20</v>
      </c>
      <c r="B9" s="12">
        <v>5</v>
      </c>
      <c r="C9" s="18">
        <v>525017</v>
      </c>
      <c r="D9" s="9">
        <v>767</v>
      </c>
      <c r="E9" s="10">
        <f t="shared" si="0"/>
        <v>1.4609050754546995E-3</v>
      </c>
      <c r="F9" s="10">
        <f t="shared" si="8"/>
        <v>2.5</v>
      </c>
      <c r="G9" s="19">
        <f t="shared" si="1"/>
        <v>7.2779444124459487E-3</v>
      </c>
      <c r="H9" s="10">
        <f t="shared" si="2"/>
        <v>0.992722055587554</v>
      </c>
      <c r="I9" s="11">
        <f t="shared" si="7"/>
        <v>93044.72192056838</v>
      </c>
      <c r="J9" s="11">
        <f t="shared" si="3"/>
        <v>677.17431400938767</v>
      </c>
      <c r="K9" s="11">
        <f t="shared" si="4"/>
        <v>463530.67381781846</v>
      </c>
      <c r="L9" s="11">
        <f t="shared" si="5"/>
        <v>5091523.6616605204</v>
      </c>
      <c r="M9" s="13">
        <f t="shared" si="6"/>
        <v>54.721251851417406</v>
      </c>
      <c r="O9" s="4"/>
      <c r="P9" s="17"/>
      <c r="Q9" s="17"/>
      <c r="S9" s="1"/>
    </row>
    <row r="10" spans="1:19" x14ac:dyDescent="0.3">
      <c r="A10" s="9">
        <v>25</v>
      </c>
      <c r="B10" s="12">
        <v>5</v>
      </c>
      <c r="C10" s="18">
        <v>416776</v>
      </c>
      <c r="D10" s="9">
        <v>789</v>
      </c>
      <c r="E10" s="10">
        <f t="shared" si="0"/>
        <v>1.8931032497072767E-3</v>
      </c>
      <c r="F10" s="10">
        <f t="shared" si="8"/>
        <v>2.5</v>
      </c>
      <c r="G10" s="19">
        <f t="shared" si="1"/>
        <v>9.4209292690003651E-3</v>
      </c>
      <c r="H10" s="10">
        <f t="shared" si="2"/>
        <v>0.9905790707309996</v>
      </c>
      <c r="I10" s="11">
        <f t="shared" si="7"/>
        <v>92367.54760655899</v>
      </c>
      <c r="J10" s="11">
        <f t="shared" si="3"/>
        <v>870.18813275241621</v>
      </c>
      <c r="K10" s="11">
        <f t="shared" si="4"/>
        <v>459662.26770091389</v>
      </c>
      <c r="L10" s="11">
        <f t="shared" si="5"/>
        <v>4627992.9878427023</v>
      </c>
      <c r="M10" s="13">
        <f t="shared" si="6"/>
        <v>50.10410157857293</v>
      </c>
      <c r="O10" s="4"/>
      <c r="P10" s="17"/>
      <c r="Q10" s="17"/>
      <c r="S10" s="1"/>
    </row>
    <row r="11" spans="1:19" x14ac:dyDescent="0.3">
      <c r="A11" s="9">
        <v>30</v>
      </c>
      <c r="B11" s="12">
        <v>5</v>
      </c>
      <c r="C11" s="18">
        <v>334865</v>
      </c>
      <c r="D11" s="9">
        <v>786</v>
      </c>
      <c r="E11" s="10">
        <f t="shared" si="0"/>
        <v>2.3472145491466711E-3</v>
      </c>
      <c r="F11" s="10">
        <f t="shared" si="8"/>
        <v>2.5</v>
      </c>
      <c r="G11" s="19">
        <f t="shared" si="1"/>
        <v>1.1667606804619542E-2</v>
      </c>
      <c r="H11" s="10">
        <f t="shared" si="2"/>
        <v>0.98833239319538047</v>
      </c>
      <c r="I11" s="11">
        <f t="shared" si="7"/>
        <v>91497.359473806573</v>
      </c>
      <c r="J11" s="11">
        <f t="shared" si="3"/>
        <v>1067.5552140013058</v>
      </c>
      <c r="K11" s="11">
        <f t="shared" si="4"/>
        <v>454817.90933402959</v>
      </c>
      <c r="L11" s="11">
        <f t="shared" si="5"/>
        <v>4168330.7201417885</v>
      </c>
      <c r="M11" s="13">
        <f t="shared" si="6"/>
        <v>45.556841684978664</v>
      </c>
      <c r="O11" s="4"/>
      <c r="P11" s="17"/>
      <c r="Q11" s="17"/>
      <c r="S11" s="1"/>
    </row>
    <row r="12" spans="1:19" x14ac:dyDescent="0.3">
      <c r="A12" s="9">
        <v>35</v>
      </c>
      <c r="B12" s="12">
        <v>5</v>
      </c>
      <c r="C12" s="18">
        <v>277562</v>
      </c>
      <c r="D12" s="9">
        <v>798</v>
      </c>
      <c r="E12" s="10">
        <f t="shared" si="0"/>
        <v>2.8750333258875495E-3</v>
      </c>
      <c r="F12" s="10">
        <f t="shared" si="8"/>
        <v>2.5</v>
      </c>
      <c r="G12" s="19">
        <f t="shared" si="1"/>
        <v>1.4272581262497452E-2</v>
      </c>
      <c r="H12" s="10">
        <f t="shared" si="2"/>
        <v>0.98572741873750258</v>
      </c>
      <c r="I12" s="11">
        <f t="shared" si="7"/>
        <v>90429.804259805271</v>
      </c>
      <c r="J12" s="11">
        <f t="shared" si="3"/>
        <v>1290.6667298498089</v>
      </c>
      <c r="K12" s="11">
        <f t="shared" si="4"/>
        <v>448922.35447440186</v>
      </c>
      <c r="L12" s="11">
        <f t="shared" si="5"/>
        <v>3713512.8108077589</v>
      </c>
      <c r="M12" s="13">
        <f t="shared" si="6"/>
        <v>41.065142639685675</v>
      </c>
      <c r="O12" s="4"/>
      <c r="P12" s="17"/>
      <c r="Q12" s="17"/>
      <c r="S12" s="1"/>
    </row>
    <row r="13" spans="1:19" x14ac:dyDescent="0.3">
      <c r="A13" s="9">
        <v>40</v>
      </c>
      <c r="B13" s="12">
        <v>5</v>
      </c>
      <c r="C13" s="18">
        <v>241101</v>
      </c>
      <c r="D13" s="9">
        <v>876</v>
      </c>
      <c r="E13" s="10">
        <f t="shared" si="0"/>
        <v>3.633332089041522E-3</v>
      </c>
      <c r="F13" s="10">
        <f t="shared" si="8"/>
        <v>2.5</v>
      </c>
      <c r="G13" s="19">
        <f t="shared" si="1"/>
        <v>1.8003132051740506E-2</v>
      </c>
      <c r="H13" s="10">
        <f t="shared" si="2"/>
        <v>0.98199686794825947</v>
      </c>
      <c r="I13" s="11">
        <f t="shared" si="7"/>
        <v>89139.137529955464</v>
      </c>
      <c r="J13" s="11">
        <f t="shared" si="3"/>
        <v>1604.7836639300463</v>
      </c>
      <c r="K13" s="11">
        <f t="shared" si="4"/>
        <v>441683.72848995216</v>
      </c>
      <c r="L13" s="11">
        <f t="shared" si="5"/>
        <v>3264590.4563333569</v>
      </c>
      <c r="M13" s="13">
        <f t="shared" si="6"/>
        <v>36.623536493566384</v>
      </c>
      <c r="O13" s="4"/>
      <c r="P13" s="17"/>
      <c r="Q13" s="17"/>
      <c r="S13" s="1"/>
    </row>
    <row r="14" spans="1:19" x14ac:dyDescent="0.3">
      <c r="A14" s="9">
        <v>45</v>
      </c>
      <c r="B14" s="12">
        <v>5</v>
      </c>
      <c r="C14" s="18">
        <v>196786</v>
      </c>
      <c r="D14" s="9">
        <v>937</v>
      </c>
      <c r="E14" s="10">
        <f t="shared" si="0"/>
        <v>4.7615175876332665E-3</v>
      </c>
      <c r="F14" s="10">
        <f t="shared" si="8"/>
        <v>2.5</v>
      </c>
      <c r="G14" s="19">
        <f t="shared" si="1"/>
        <v>2.3527521173513588E-2</v>
      </c>
      <c r="H14" s="10">
        <f t="shared" si="2"/>
        <v>0.97647247882648647</v>
      </c>
      <c r="I14" s="11">
        <f t="shared" si="7"/>
        <v>87534.353866025413</v>
      </c>
      <c r="J14" s="11">
        <f t="shared" si="3"/>
        <v>2059.4663639927439</v>
      </c>
      <c r="K14" s="11">
        <f t="shared" si="4"/>
        <v>432523.10342014523</v>
      </c>
      <c r="L14" s="11">
        <f t="shared" si="5"/>
        <v>2822906.7278434047</v>
      </c>
      <c r="M14" s="13">
        <f t="shared" si="6"/>
        <v>32.249129663582927</v>
      </c>
      <c r="O14" s="4"/>
      <c r="P14" s="17"/>
      <c r="Q14" s="17"/>
      <c r="S14" s="1"/>
    </row>
    <row r="15" spans="1:19" x14ac:dyDescent="0.3">
      <c r="A15" s="9">
        <v>50</v>
      </c>
      <c r="B15" s="12">
        <v>5</v>
      </c>
      <c r="C15" s="18">
        <v>146248</v>
      </c>
      <c r="D15" s="9">
        <v>1017</v>
      </c>
      <c r="E15" s="10">
        <f t="shared" si="0"/>
        <v>6.9539412504786386E-3</v>
      </c>
      <c r="F15" s="10">
        <f t="shared" si="8"/>
        <v>2.5</v>
      </c>
      <c r="G15" s="19">
        <f t="shared" si="1"/>
        <v>3.4175569004741564E-2</v>
      </c>
      <c r="H15" s="10">
        <f t="shared" si="2"/>
        <v>0.96582443099525839</v>
      </c>
      <c r="I15" s="11">
        <f t="shared" si="7"/>
        <v>85474.887502032667</v>
      </c>
      <c r="J15" s="11">
        <f t="shared" si="3"/>
        <v>2921.1529159982397</v>
      </c>
      <c r="K15" s="11">
        <f t="shared" si="4"/>
        <v>420071.55522016773</v>
      </c>
      <c r="L15" s="11">
        <f t="shared" si="5"/>
        <v>2390383.6244232594</v>
      </c>
      <c r="M15" s="13">
        <f t="shared" si="6"/>
        <v>27.965917174987965</v>
      </c>
      <c r="O15" s="4"/>
      <c r="P15" s="17"/>
      <c r="Q15" s="17"/>
      <c r="S15" s="1"/>
    </row>
    <row r="16" spans="1:19" x14ac:dyDescent="0.3">
      <c r="A16" s="9">
        <v>55</v>
      </c>
      <c r="B16" s="12">
        <v>5</v>
      </c>
      <c r="C16" s="18">
        <v>124385</v>
      </c>
      <c r="D16" s="9">
        <v>1247</v>
      </c>
      <c r="E16" s="10">
        <f t="shared" si="0"/>
        <v>1.0025324597017325E-2</v>
      </c>
      <c r="F16" s="10">
        <f t="shared" si="8"/>
        <v>2.5</v>
      </c>
      <c r="G16" s="19">
        <f t="shared" si="1"/>
        <v>4.8901001941138403E-2</v>
      </c>
      <c r="H16" s="10">
        <f t="shared" si="2"/>
        <v>0.95109899805886156</v>
      </c>
      <c r="I16" s="11">
        <f t="shared" si="7"/>
        <v>82553.734586034421</v>
      </c>
      <c r="J16" s="11">
        <f t="shared" si="3"/>
        <v>4036.9603352398935</v>
      </c>
      <c r="K16" s="11">
        <f t="shared" si="4"/>
        <v>402676.27209207235</v>
      </c>
      <c r="L16" s="11">
        <f t="shared" si="5"/>
        <v>1970312.0692030916</v>
      </c>
      <c r="M16" s="13">
        <f t="shared" si="6"/>
        <v>23.867025266430627</v>
      </c>
      <c r="O16" s="4"/>
      <c r="P16" s="17"/>
      <c r="Q16" s="17"/>
      <c r="S16" s="1"/>
    </row>
    <row r="17" spans="1:19" x14ac:dyDescent="0.3">
      <c r="A17" s="9">
        <v>60</v>
      </c>
      <c r="B17" s="12">
        <v>5</v>
      </c>
      <c r="C17" s="18">
        <v>107311</v>
      </c>
      <c r="D17" s="9">
        <v>1687</v>
      </c>
      <c r="E17" s="10">
        <f t="shared" si="0"/>
        <v>1.5720662373847973E-2</v>
      </c>
      <c r="F17" s="10">
        <f t="shared" si="8"/>
        <v>2.5</v>
      </c>
      <c r="G17" s="19">
        <f t="shared" si="1"/>
        <v>7.5630892552127932E-2</v>
      </c>
      <c r="H17" s="10">
        <f t="shared" si="2"/>
        <v>0.92436910744787204</v>
      </c>
      <c r="I17" s="11">
        <f t="shared" si="7"/>
        <v>78516.774250794522</v>
      </c>
      <c r="J17" s="11">
        <f t="shared" si="3"/>
        <v>5938.2937169015258</v>
      </c>
      <c r="K17" s="11">
        <f t="shared" si="4"/>
        <v>377738.13696171873</v>
      </c>
      <c r="L17" s="11">
        <f t="shared" si="5"/>
        <v>1567635.7971110193</v>
      </c>
      <c r="M17" s="13">
        <f t="shared" si="6"/>
        <v>19.965616418521627</v>
      </c>
      <c r="O17" s="4"/>
      <c r="P17" s="17"/>
      <c r="Q17" s="17"/>
      <c r="S17" s="1"/>
    </row>
    <row r="18" spans="1:19" x14ac:dyDescent="0.3">
      <c r="A18" s="9">
        <v>65</v>
      </c>
      <c r="B18" s="12">
        <v>5</v>
      </c>
      <c r="C18" s="18">
        <v>90184</v>
      </c>
      <c r="D18" s="9">
        <v>2001</v>
      </c>
      <c r="E18" s="10">
        <f t="shared" si="0"/>
        <v>2.2187971258759868E-2</v>
      </c>
      <c r="F18" s="10">
        <f t="shared" si="8"/>
        <v>2.5</v>
      </c>
      <c r="G18" s="19">
        <f t="shared" si="1"/>
        <v>0.10510944304076733</v>
      </c>
      <c r="H18" s="10">
        <f t="shared" si="2"/>
        <v>0.8948905569592327</v>
      </c>
      <c r="I18" s="11">
        <f t="shared" si="7"/>
        <v>72578.480533892987</v>
      </c>
      <c r="J18" s="11">
        <f t="shared" si="3"/>
        <v>7628.6836656626656</v>
      </c>
      <c r="K18" s="11">
        <f t="shared" si="4"/>
        <v>343820.69350530824</v>
      </c>
      <c r="L18" s="11">
        <f t="shared" si="5"/>
        <v>1189897.6601493005</v>
      </c>
      <c r="M18" s="13">
        <f t="shared" si="6"/>
        <v>16.394634489401266</v>
      </c>
      <c r="O18" s="4"/>
      <c r="P18" s="17"/>
      <c r="Q18" s="17"/>
      <c r="S18" s="1"/>
    </row>
    <row r="19" spans="1:19" x14ac:dyDescent="0.3">
      <c r="A19" s="9">
        <v>70</v>
      </c>
      <c r="B19" s="12">
        <v>5</v>
      </c>
      <c r="C19" s="18">
        <v>66551</v>
      </c>
      <c r="D19" s="9">
        <v>2186</v>
      </c>
      <c r="E19" s="10">
        <f t="shared" si="0"/>
        <v>3.2846989526829046E-2</v>
      </c>
      <c r="F19" s="10">
        <f t="shared" si="8"/>
        <v>2.5</v>
      </c>
      <c r="G19" s="19">
        <f t="shared" si="1"/>
        <v>0.15177182848255941</v>
      </c>
      <c r="H19" s="10">
        <f t="shared" si="2"/>
        <v>0.84822817151744057</v>
      </c>
      <c r="I19" s="11">
        <f t="shared" si="7"/>
        <v>64949.796868230325</v>
      </c>
      <c r="J19" s="11">
        <f t="shared" si="3"/>
        <v>9857.5494302621264</v>
      </c>
      <c r="K19" s="11">
        <f t="shared" si="4"/>
        <v>300105.11076549633</v>
      </c>
      <c r="L19" s="11">
        <f t="shared" si="5"/>
        <v>846076.96664399235</v>
      </c>
      <c r="M19" s="13">
        <f t="shared" si="6"/>
        <v>13.026629911722544</v>
      </c>
      <c r="O19" s="4"/>
      <c r="P19" s="17"/>
      <c r="Q19" s="17"/>
      <c r="S19" s="1"/>
    </row>
    <row r="20" spans="1:19" x14ac:dyDescent="0.3">
      <c r="A20" s="9">
        <v>75</v>
      </c>
      <c r="B20" s="12">
        <v>5</v>
      </c>
      <c r="C20" s="18">
        <v>40196</v>
      </c>
      <c r="D20" s="9">
        <v>2313</v>
      </c>
      <c r="E20" s="10">
        <f t="shared" si="0"/>
        <v>5.7543039108368992E-2</v>
      </c>
      <c r="F20" s="10">
        <f t="shared" si="8"/>
        <v>2.5</v>
      </c>
      <c r="G20" s="19">
        <f t="shared" si="1"/>
        <v>0.25153060669660821</v>
      </c>
      <c r="H20" s="10">
        <f t="shared" si="2"/>
        <v>0.74846939330339179</v>
      </c>
      <c r="I20" s="11">
        <f t="shared" si="7"/>
        <v>55092.247437968195</v>
      </c>
      <c r="J20" s="11">
        <f t="shared" si="3"/>
        <v>13857.386422351799</v>
      </c>
      <c r="K20" s="11">
        <f t="shared" si="4"/>
        <v>240817.77113396151</v>
      </c>
      <c r="L20" s="11">
        <f t="shared" si="5"/>
        <v>545971.85587849608</v>
      </c>
      <c r="M20" s="13">
        <f t="shared" si="6"/>
        <v>9.9101394709526041</v>
      </c>
      <c r="O20" s="4"/>
      <c r="P20" s="17"/>
      <c r="Q20" s="17"/>
      <c r="S20" s="1"/>
    </row>
    <row r="21" spans="1:19" x14ac:dyDescent="0.3">
      <c r="A21" s="9">
        <v>80</v>
      </c>
      <c r="B21" s="12">
        <v>5</v>
      </c>
      <c r="C21" s="18">
        <v>20383</v>
      </c>
      <c r="D21" s="9">
        <v>2064</v>
      </c>
      <c r="E21" s="10">
        <f t="shared" si="0"/>
        <v>0.10126085463376343</v>
      </c>
      <c r="F21" s="10">
        <f t="shared" si="8"/>
        <v>2.5</v>
      </c>
      <c r="G21" s="19">
        <f t="shared" si="1"/>
        <v>0.40402458599224833</v>
      </c>
      <c r="H21" s="10">
        <f t="shared" si="2"/>
        <v>0.59597541400775167</v>
      </c>
      <c r="I21" s="11">
        <f t="shared" si="7"/>
        <v>41234.8610156164</v>
      </c>
      <c r="J21" s="11">
        <f t="shared" si="3"/>
        <v>16659.897650282317</v>
      </c>
      <c r="K21" s="11">
        <f>(B21*I22)+(F21*J21)</f>
        <v>164524.56095237623</v>
      </c>
      <c r="L21" s="11">
        <f>K21+L22</f>
        <v>305154.08474453463</v>
      </c>
      <c r="M21" s="13">
        <f t="shared" si="6"/>
        <v>7.4003907671464484</v>
      </c>
      <c r="O21" s="4"/>
      <c r="P21" s="17"/>
      <c r="Q21" s="17"/>
      <c r="S21" s="1"/>
    </row>
    <row r="22" spans="1:19" x14ac:dyDescent="0.3">
      <c r="A22" s="22" t="s">
        <v>13</v>
      </c>
      <c r="B22" s="12"/>
      <c r="C22" s="18">
        <v>11485</v>
      </c>
      <c r="D22" s="9">
        <v>2007</v>
      </c>
      <c r="E22" s="10">
        <f t="shared" si="0"/>
        <v>0.17474967348715717</v>
      </c>
      <c r="F22" s="10"/>
      <c r="G22" s="19">
        <v>1</v>
      </c>
      <c r="H22" s="10">
        <f t="shared" si="2"/>
        <v>0</v>
      </c>
      <c r="I22" s="11">
        <f t="shared" si="7"/>
        <v>24574.963365334082</v>
      </c>
      <c r="J22" s="11">
        <f t="shared" si="3"/>
        <v>24574.963365334082</v>
      </c>
      <c r="K22" s="11">
        <f>I22/E22</f>
        <v>140629.5237921584</v>
      </c>
      <c r="L22" s="11">
        <f>I22/E22</f>
        <v>140629.5237921584</v>
      </c>
      <c r="M22" s="13">
        <f t="shared" ref="M22" si="9">L22/I22</f>
        <v>5.7224713502740405</v>
      </c>
      <c r="O22" s="4"/>
      <c r="P22" s="17"/>
      <c r="Q22" s="17"/>
      <c r="S22" s="1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6B4E-4731-4A78-91BB-D3F2FE61B06B}">
  <dimension ref="A1:P48"/>
  <sheetViews>
    <sheetView zoomScale="65" zoomScaleNormal="57" workbookViewId="0">
      <selection activeCell="G4" sqref="G4"/>
    </sheetView>
  </sheetViews>
  <sheetFormatPr baseColWidth="10" defaultColWidth="9.109375" defaultRowHeight="14.4" x14ac:dyDescent="0.3"/>
  <cols>
    <col min="1" max="2" width="8.44140625" style="5" customWidth="1"/>
    <col min="3" max="11" width="8.44140625" style="6" customWidth="1"/>
    <col min="12" max="12" width="8.77734375" style="6" bestFit="1" customWidth="1"/>
    <col min="13" max="13" width="8.44140625" style="6" customWidth="1"/>
  </cols>
  <sheetData>
    <row r="1" spans="1:16" x14ac:dyDescent="0.3">
      <c r="A1" s="7" t="s">
        <v>14</v>
      </c>
      <c r="N1" s="6"/>
      <c r="O1" s="6"/>
      <c r="P1" s="6"/>
    </row>
    <row r="2" spans="1:16" x14ac:dyDescent="0.3">
      <c r="A2" s="20"/>
      <c r="B2" s="20"/>
      <c r="C2" s="20"/>
      <c r="D2" s="20"/>
      <c r="E2" s="20"/>
    </row>
    <row r="3" spans="1:16" ht="15.6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/>
    </row>
    <row r="4" spans="1:16" x14ac:dyDescent="0.3">
      <c r="A4" s="9">
        <v>0</v>
      </c>
      <c r="B4" s="9">
        <v>1</v>
      </c>
      <c r="C4" s="18">
        <v>205636</v>
      </c>
      <c r="D4" s="9">
        <v>3778</v>
      </c>
      <c r="E4" s="10">
        <f>D4/C4</f>
        <v>1.8372269446983992E-2</v>
      </c>
      <c r="F4" s="14">
        <f>0.053 + 2.8 * E4</f>
        <v>0.10444235445155517</v>
      </c>
      <c r="G4" s="10">
        <f>(B4*E4)/(1+(B4-F4)*E4)</f>
        <v>1.8074875808730396E-2</v>
      </c>
      <c r="H4" s="10">
        <f>1-G4</f>
        <v>0.98192512419126965</v>
      </c>
      <c r="I4" s="11">
        <v>100000</v>
      </c>
      <c r="J4" s="11">
        <f>I4*G4</f>
        <v>1807.4875808730396</v>
      </c>
      <c r="K4" s="11">
        <f>(B4*I5)+(F4*J4)</f>
        <v>98381.290677715297</v>
      </c>
      <c r="L4" s="11">
        <f>K4+L5</f>
        <v>7616466.7741360543</v>
      </c>
      <c r="M4" s="13">
        <f>L4/I4</f>
        <v>76.164667741360546</v>
      </c>
      <c r="O4" s="1"/>
    </row>
    <row r="5" spans="1:16" x14ac:dyDescent="0.3">
      <c r="A5" s="12">
        <v>1</v>
      </c>
      <c r="B5" s="12">
        <v>4</v>
      </c>
      <c r="C5" s="18">
        <v>796385</v>
      </c>
      <c r="D5" s="9">
        <v>4046</v>
      </c>
      <c r="E5" s="10">
        <f t="shared" ref="E5:E22" si="0">D5/C5</f>
        <v>5.0804573164989295E-3</v>
      </c>
      <c r="F5" s="15">
        <f>1.522 - 1.518 * E4</f>
        <v>1.4941108949794784</v>
      </c>
      <c r="G5" s="10">
        <f>(B5*E5)/(1+(B5-F5)*E5)</f>
        <v>2.0066363139945493E-2</v>
      </c>
      <c r="H5" s="10">
        <f t="shared" ref="H5:H22" si="1">1-G5</f>
        <v>0.97993363686005452</v>
      </c>
      <c r="I5" s="11">
        <f>I4*H4</f>
        <v>98192.512419126972</v>
      </c>
      <c r="J5" s="11">
        <f t="shared" ref="J5:J22" si="2">I5*G5</f>
        <v>1970.3666118258095</v>
      </c>
      <c r="K5" s="11">
        <f>(B5*I6)+(F5*J5)</f>
        <v>387832.52945103741</v>
      </c>
      <c r="L5" s="11">
        <f>K5+L6</f>
        <v>7518085.4834583392</v>
      </c>
      <c r="M5" s="13">
        <f>L5/I5</f>
        <v>76.564753240735769</v>
      </c>
      <c r="O5" s="1"/>
    </row>
    <row r="6" spans="1:16" x14ac:dyDescent="0.3">
      <c r="A6" s="12">
        <v>5</v>
      </c>
      <c r="B6" s="12">
        <v>5</v>
      </c>
      <c r="C6" s="18">
        <v>952912</v>
      </c>
      <c r="D6" s="9">
        <v>310</v>
      </c>
      <c r="E6" s="10">
        <f t="shared" si="0"/>
        <v>3.2531860234733114E-4</v>
      </c>
      <c r="F6" s="10">
        <f>B6/2</f>
        <v>2.5</v>
      </c>
      <c r="G6" s="10">
        <f>(B6*E6)/(1+(B6-F6)*E6)</f>
        <v>1.6252711843613263E-3</v>
      </c>
      <c r="H6" s="10">
        <f t="shared" si="1"/>
        <v>0.99837472881563871</v>
      </c>
      <c r="I6" s="11">
        <f t="shared" ref="I6:I21" si="3">I5*H5</f>
        <v>96222.14580730116</v>
      </c>
      <c r="J6" s="11">
        <f t="shared" si="2"/>
        <v>156.38708087802058</v>
      </c>
      <c r="K6" s="11">
        <f>(B6*I7)+(F6*J6)</f>
        <v>480719.76133431075</v>
      </c>
      <c r="L6" s="11">
        <f t="shared" ref="L6:L20" si="4">K6+L7</f>
        <v>7130252.9540073015</v>
      </c>
      <c r="M6" s="13">
        <f t="shared" ref="M6:M22" si="5">L6/I6</f>
        <v>74.101994859755777</v>
      </c>
      <c r="O6" s="1"/>
    </row>
    <row r="7" spans="1:16" x14ac:dyDescent="0.3">
      <c r="A7" s="12">
        <v>10</v>
      </c>
      <c r="B7" s="12">
        <v>5</v>
      </c>
      <c r="C7" s="18">
        <v>950579</v>
      </c>
      <c r="D7" s="9">
        <v>397</v>
      </c>
      <c r="E7" s="10">
        <f t="shared" si="0"/>
        <v>4.1764019613309365E-4</v>
      </c>
      <c r="F7" s="10">
        <f t="shared" ref="F7:F22" si="6">B7/2</f>
        <v>2.5</v>
      </c>
      <c r="G7" s="10">
        <f t="shared" ref="G7:G21" si="7">(B7*E7)/(1+(B7-F7)*E7)</f>
        <v>2.0860229630668848E-3</v>
      </c>
      <c r="H7" s="10">
        <f t="shared" si="1"/>
        <v>0.99791397703693308</v>
      </c>
      <c r="I7" s="11">
        <f t="shared" si="3"/>
        <v>96065.758726423141</v>
      </c>
      <c r="J7" s="11">
        <f t="shared" si="2"/>
        <v>200.39537866776163</v>
      </c>
      <c r="K7" s="11">
        <f t="shared" ref="K7:K19" si="8">(B7*I8)+(F7*J7)</f>
        <v>479827.80518544634</v>
      </c>
      <c r="L7" s="11">
        <f t="shared" si="4"/>
        <v>6649533.1926729903</v>
      </c>
      <c r="M7" s="13">
        <f t="shared" si="5"/>
        <v>69.218556963772969</v>
      </c>
      <c r="O7" s="1"/>
    </row>
    <row r="8" spans="1:16" x14ac:dyDescent="0.3">
      <c r="A8" s="9">
        <v>15</v>
      </c>
      <c r="B8" s="12">
        <v>5</v>
      </c>
      <c r="C8" s="18">
        <v>938826</v>
      </c>
      <c r="D8" s="9">
        <v>648</v>
      </c>
      <c r="E8" s="10">
        <f t="shared" si="0"/>
        <v>6.9022374753149147E-4</v>
      </c>
      <c r="F8" s="10">
        <f t="shared" si="6"/>
        <v>2.5</v>
      </c>
      <c r="G8" s="10">
        <f t="shared" si="7"/>
        <v>3.4451738855819469E-3</v>
      </c>
      <c r="H8" s="10">
        <f t="shared" si="1"/>
        <v>0.99655482611441804</v>
      </c>
      <c r="I8" s="11">
        <f t="shared" si="3"/>
        <v>95865.363347755381</v>
      </c>
      <c r="J8" s="11">
        <f t="shared" si="2"/>
        <v>330.27284633751157</v>
      </c>
      <c r="K8" s="11">
        <f t="shared" si="8"/>
        <v>478501.13462293311</v>
      </c>
      <c r="L8" s="11">
        <f t="shared" si="4"/>
        <v>6169705.3874875437</v>
      </c>
      <c r="M8" s="13">
        <f t="shared" si="5"/>
        <v>64.35802433780691</v>
      </c>
      <c r="O8" s="1"/>
    </row>
    <row r="9" spans="1:16" x14ac:dyDescent="0.3">
      <c r="A9" s="9">
        <v>20</v>
      </c>
      <c r="B9" s="12">
        <v>5</v>
      </c>
      <c r="C9" s="18">
        <v>861672</v>
      </c>
      <c r="D9" s="9">
        <v>866</v>
      </c>
      <c r="E9" s="10">
        <f t="shared" si="0"/>
        <v>1.0050227928956727E-3</v>
      </c>
      <c r="F9" s="10">
        <f t="shared" si="6"/>
        <v>2.5</v>
      </c>
      <c r="G9" s="10">
        <f t="shared" si="7"/>
        <v>5.0125197230496028E-3</v>
      </c>
      <c r="H9" s="10">
        <f t="shared" si="1"/>
        <v>0.99498748027695039</v>
      </c>
      <c r="I9" s="11">
        <f t="shared" si="3"/>
        <v>95535.090501417872</v>
      </c>
      <c r="J9" s="11">
        <f t="shared" si="2"/>
        <v>478.87152538168584</v>
      </c>
      <c r="K9" s="11">
        <f t="shared" si="8"/>
        <v>476478.27369363513</v>
      </c>
      <c r="L9" s="11">
        <f t="shared" si="4"/>
        <v>5691204.2528646104</v>
      </c>
      <c r="M9" s="13">
        <f t="shared" si="5"/>
        <v>59.571872732775034</v>
      </c>
      <c r="O9" s="1"/>
    </row>
    <row r="10" spans="1:16" x14ac:dyDescent="0.3">
      <c r="A10" s="9">
        <v>25</v>
      </c>
      <c r="B10" s="12">
        <v>5</v>
      </c>
      <c r="C10" s="18">
        <v>760740</v>
      </c>
      <c r="D10" s="9">
        <v>950</v>
      </c>
      <c r="E10" s="10">
        <f t="shared" si="0"/>
        <v>1.2487840786602519E-3</v>
      </c>
      <c r="F10" s="10">
        <f t="shared" si="6"/>
        <v>2.5</v>
      </c>
      <c r="G10" s="10">
        <f t="shared" si="7"/>
        <v>6.2244877901757936E-3</v>
      </c>
      <c r="H10" s="10">
        <f t="shared" si="1"/>
        <v>0.99377551220982419</v>
      </c>
      <c r="I10" s="11">
        <f t="shared" si="3"/>
        <v>95056.21897603618</v>
      </c>
      <c r="J10" s="11">
        <f t="shared" si="2"/>
        <v>591.67627439661374</v>
      </c>
      <c r="K10" s="11">
        <f t="shared" si="8"/>
        <v>473801.90419418941</v>
      </c>
      <c r="L10" s="11">
        <f t="shared" si="4"/>
        <v>5214725.9791709753</v>
      </c>
      <c r="M10" s="13">
        <f t="shared" si="5"/>
        <v>54.859387795401538</v>
      </c>
      <c r="O10" s="3"/>
    </row>
    <row r="11" spans="1:16" x14ac:dyDescent="0.3">
      <c r="A11" s="9">
        <v>30</v>
      </c>
      <c r="B11" s="12">
        <v>5</v>
      </c>
      <c r="C11" s="18">
        <v>657081</v>
      </c>
      <c r="D11" s="9">
        <v>983</v>
      </c>
      <c r="E11" s="10">
        <f t="shared" si="0"/>
        <v>1.4960103853254012E-3</v>
      </c>
      <c r="F11" s="10">
        <f t="shared" si="6"/>
        <v>2.5</v>
      </c>
      <c r="G11" s="10">
        <f t="shared" si="7"/>
        <v>7.4521805777827965E-3</v>
      </c>
      <c r="H11" s="10">
        <f t="shared" si="1"/>
        <v>0.99254781942221726</v>
      </c>
      <c r="I11" s="11">
        <f t="shared" si="3"/>
        <v>94464.54270163957</v>
      </c>
      <c r="J11" s="11">
        <f t="shared" si="2"/>
        <v>703.966830410292</v>
      </c>
      <c r="K11" s="11">
        <f t="shared" si="8"/>
        <v>470562.79643217218</v>
      </c>
      <c r="L11" s="11">
        <f t="shared" si="4"/>
        <v>4740924.074976786</v>
      </c>
      <c r="M11" s="13">
        <f t="shared" si="5"/>
        <v>50.187339496796191</v>
      </c>
      <c r="O11" s="1"/>
    </row>
    <row r="12" spans="1:16" x14ac:dyDescent="0.3">
      <c r="A12" s="9">
        <v>35</v>
      </c>
      <c r="B12" s="12">
        <v>5</v>
      </c>
      <c r="C12" s="18">
        <v>575550</v>
      </c>
      <c r="D12" s="9">
        <v>1035</v>
      </c>
      <c r="E12" s="10">
        <f t="shared" si="0"/>
        <v>1.7982799061767006E-3</v>
      </c>
      <c r="F12" s="10">
        <f t="shared" si="6"/>
        <v>2.5</v>
      </c>
      <c r="G12" s="10">
        <f t="shared" si="7"/>
        <v>8.9511578128040475E-3</v>
      </c>
      <c r="H12" s="10">
        <f t="shared" si="1"/>
        <v>0.99104884218719591</v>
      </c>
      <c r="I12" s="11">
        <f t="shared" si="3"/>
        <v>93760.575871229288</v>
      </c>
      <c r="J12" s="11">
        <f t="shared" si="2"/>
        <v>839.26571124276074</v>
      </c>
      <c r="K12" s="11">
        <f t="shared" si="8"/>
        <v>466704.71507803944</v>
      </c>
      <c r="L12" s="11">
        <f t="shared" si="4"/>
        <v>4270361.2785446141</v>
      </c>
      <c r="M12" s="13">
        <f t="shared" si="5"/>
        <v>45.545382362087082</v>
      </c>
      <c r="O12" s="1"/>
    </row>
    <row r="13" spans="1:16" x14ac:dyDescent="0.3">
      <c r="A13" s="9">
        <v>40</v>
      </c>
      <c r="B13" s="12">
        <v>5</v>
      </c>
      <c r="C13" s="18">
        <v>469900</v>
      </c>
      <c r="D13" s="9">
        <v>1103</v>
      </c>
      <c r="E13" s="10">
        <f t="shared" si="0"/>
        <v>2.3473079378591188E-3</v>
      </c>
      <c r="F13" s="10">
        <f t="shared" si="6"/>
        <v>2.5</v>
      </c>
      <c r="G13" s="10">
        <f t="shared" si="7"/>
        <v>1.1668068315852388E-2</v>
      </c>
      <c r="H13" s="10">
        <f t="shared" si="1"/>
        <v>0.98833193168414757</v>
      </c>
      <c r="I13" s="11">
        <f t="shared" si="3"/>
        <v>92921.310159986519</v>
      </c>
      <c r="J13" s="11">
        <f t="shared" si="2"/>
        <v>1084.2121949452312</v>
      </c>
      <c r="K13" s="11">
        <f t="shared" si="8"/>
        <v>461896.02031256945</v>
      </c>
      <c r="L13" s="11">
        <f t="shared" si="4"/>
        <v>3803656.563466575</v>
      </c>
      <c r="M13" s="13">
        <f t="shared" si="5"/>
        <v>40.934168458426385</v>
      </c>
      <c r="O13" s="1"/>
    </row>
    <row r="14" spans="1:16" x14ac:dyDescent="0.3">
      <c r="A14" s="9">
        <v>45</v>
      </c>
      <c r="B14" s="12">
        <v>5</v>
      </c>
      <c r="C14" s="18">
        <v>373614</v>
      </c>
      <c r="D14" s="9">
        <v>1218</v>
      </c>
      <c r="E14" s="10">
        <f t="shared" si="0"/>
        <v>3.2600491416274551E-3</v>
      </c>
      <c r="F14" s="10">
        <f t="shared" si="6"/>
        <v>2.5</v>
      </c>
      <c r="G14" s="10">
        <f t="shared" si="7"/>
        <v>1.6168470685686526E-2</v>
      </c>
      <c r="H14" s="10">
        <f t="shared" si="1"/>
        <v>0.9838315293143135</v>
      </c>
      <c r="I14" s="11">
        <f t="shared" si="3"/>
        <v>91837.097965041277</v>
      </c>
      <c r="J14" s="11">
        <f t="shared" si="2"/>
        <v>1484.8654263062915</v>
      </c>
      <c r="K14" s="11">
        <f t="shared" si="8"/>
        <v>455473.32625944063</v>
      </c>
      <c r="L14" s="11">
        <f t="shared" si="4"/>
        <v>3341760.5431540054</v>
      </c>
      <c r="M14" s="13">
        <f t="shared" si="5"/>
        <v>36.387915310935462</v>
      </c>
      <c r="O14" s="1"/>
    </row>
    <row r="15" spans="1:16" x14ac:dyDescent="0.3">
      <c r="A15" s="9">
        <v>50</v>
      </c>
      <c r="B15" s="12">
        <v>5</v>
      </c>
      <c r="C15" s="18">
        <v>299210</v>
      </c>
      <c r="D15" s="9">
        <v>1415</v>
      </c>
      <c r="E15" s="10">
        <f t="shared" si="0"/>
        <v>4.7291200160422446E-3</v>
      </c>
      <c r="F15" s="10">
        <f t="shared" si="6"/>
        <v>2.5</v>
      </c>
      <c r="G15" s="10">
        <f t="shared" si="7"/>
        <v>2.3369309408005016E-2</v>
      </c>
      <c r="H15" s="10">
        <f t="shared" si="1"/>
        <v>0.97663069059199503</v>
      </c>
      <c r="I15" s="11">
        <f t="shared" si="3"/>
        <v>90352.232538734985</v>
      </c>
      <c r="J15" s="11">
        <f t="shared" si="2"/>
        <v>2111.4692779017164</v>
      </c>
      <c r="K15" s="11">
        <f t="shared" si="8"/>
        <v>446482.48949892068</v>
      </c>
      <c r="L15" s="11">
        <f t="shared" si="4"/>
        <v>2886287.2168945647</v>
      </c>
      <c r="M15" s="13">
        <f t="shared" si="5"/>
        <v>31.94483562602819</v>
      </c>
      <c r="O15" s="1"/>
    </row>
    <row r="16" spans="1:16" x14ac:dyDescent="0.3">
      <c r="A16" s="9">
        <v>55</v>
      </c>
      <c r="B16" s="12">
        <v>5</v>
      </c>
      <c r="C16" s="18">
        <v>245896</v>
      </c>
      <c r="D16" s="9">
        <v>1730</v>
      </c>
      <c r="E16" s="10">
        <f t="shared" si="0"/>
        <v>7.0354946806780103E-3</v>
      </c>
      <c r="F16" s="10">
        <f t="shared" si="6"/>
        <v>2.5</v>
      </c>
      <c r="G16" s="10">
        <f t="shared" si="7"/>
        <v>3.4569440614496787E-2</v>
      </c>
      <c r="H16" s="10">
        <f t="shared" si="1"/>
        <v>0.96543055938550326</v>
      </c>
      <c r="I16" s="11">
        <f t="shared" si="3"/>
        <v>88240.763260833279</v>
      </c>
      <c r="J16" s="11">
        <f t="shared" si="2"/>
        <v>3050.4338253232459</v>
      </c>
      <c r="K16" s="11">
        <f t="shared" si="8"/>
        <v>433577.73174085829</v>
      </c>
      <c r="L16" s="11">
        <f t="shared" si="4"/>
        <v>2439804.7273956439</v>
      </c>
      <c r="M16" s="13">
        <f t="shared" si="5"/>
        <v>27.649406433438916</v>
      </c>
      <c r="O16" s="1"/>
    </row>
    <row r="17" spans="1:16" x14ac:dyDescent="0.3">
      <c r="A17" s="9">
        <v>60</v>
      </c>
      <c r="B17" s="12">
        <v>5</v>
      </c>
      <c r="C17" s="18">
        <v>207748</v>
      </c>
      <c r="D17" s="9">
        <v>2153</v>
      </c>
      <c r="E17" s="10">
        <f t="shared" si="0"/>
        <v>1.0363517338313727E-2</v>
      </c>
      <c r="F17" s="10">
        <f t="shared" si="6"/>
        <v>2.5</v>
      </c>
      <c r="G17" s="10">
        <f t="shared" si="7"/>
        <v>5.0508960472574325E-2</v>
      </c>
      <c r="H17" s="10">
        <f t="shared" si="1"/>
        <v>0.94949103952742564</v>
      </c>
      <c r="I17" s="11">
        <f t="shared" si="3"/>
        <v>85190.329435510037</v>
      </c>
      <c r="J17" s="11">
        <f t="shared" si="2"/>
        <v>4302.8749821037618</v>
      </c>
      <c r="K17" s="11">
        <f t="shared" si="8"/>
        <v>415194.45972229075</v>
      </c>
      <c r="L17" s="11">
        <f t="shared" si="4"/>
        <v>2006226.9956547855</v>
      </c>
      <c r="M17" s="13">
        <f t="shared" si="5"/>
        <v>23.549938225952278</v>
      </c>
      <c r="O17" s="1"/>
    </row>
    <row r="18" spans="1:16" x14ac:dyDescent="0.3">
      <c r="A18" s="9">
        <v>65</v>
      </c>
      <c r="B18" s="12">
        <v>5</v>
      </c>
      <c r="C18" s="18">
        <v>161799</v>
      </c>
      <c r="D18" s="9">
        <v>2250</v>
      </c>
      <c r="E18" s="10">
        <f t="shared" si="0"/>
        <v>1.3906142806815864E-2</v>
      </c>
      <c r="F18" s="10">
        <f t="shared" si="6"/>
        <v>2.5</v>
      </c>
      <c r="G18" s="10">
        <f t="shared" si="7"/>
        <v>6.7194667431192651E-2</v>
      </c>
      <c r="H18" s="10">
        <f t="shared" si="1"/>
        <v>0.93280533256880738</v>
      </c>
      <c r="I18" s="11">
        <f t="shared" si="3"/>
        <v>80887.454453406273</v>
      </c>
      <c r="J18" s="11">
        <f t="shared" si="2"/>
        <v>5435.205601352377</v>
      </c>
      <c r="K18" s="11">
        <f t="shared" si="8"/>
        <v>390849.25826365047</v>
      </c>
      <c r="L18" s="11">
        <f t="shared" si="4"/>
        <v>1591032.5359324948</v>
      </c>
      <c r="M18" s="13">
        <f t="shared" si="5"/>
        <v>19.669707084786303</v>
      </c>
      <c r="O18" s="1"/>
      <c r="P18" s="2"/>
    </row>
    <row r="19" spans="1:16" x14ac:dyDescent="0.3">
      <c r="A19" s="9">
        <v>70</v>
      </c>
      <c r="B19" s="12">
        <v>5</v>
      </c>
      <c r="C19" s="18">
        <v>111141</v>
      </c>
      <c r="D19" s="9">
        <v>2407</v>
      </c>
      <c r="E19" s="10">
        <f t="shared" si="0"/>
        <v>2.1657174220134783E-2</v>
      </c>
      <c r="F19" s="10">
        <f t="shared" si="6"/>
        <v>2.5</v>
      </c>
      <c r="G19" s="10">
        <f t="shared" si="7"/>
        <v>0.10272408745417533</v>
      </c>
      <c r="H19" s="10">
        <f t="shared" si="1"/>
        <v>0.89727591254582473</v>
      </c>
      <c r="I19" s="11">
        <f t="shared" si="3"/>
        <v>75452.248852053905</v>
      </c>
      <c r="J19" s="11">
        <f t="shared" si="2"/>
        <v>7750.7634096925849</v>
      </c>
      <c r="K19" s="11">
        <f t="shared" si="8"/>
        <v>357884.33573603811</v>
      </c>
      <c r="L19" s="11">
        <f t="shared" si="4"/>
        <v>1200183.2776688444</v>
      </c>
      <c r="M19" s="13">
        <f t="shared" si="5"/>
        <v>15.906527584381919</v>
      </c>
      <c r="O19" s="1"/>
    </row>
    <row r="20" spans="1:16" x14ac:dyDescent="0.3">
      <c r="A20" s="9">
        <v>75</v>
      </c>
      <c r="B20" s="12">
        <v>5</v>
      </c>
      <c r="C20" s="18">
        <v>83382</v>
      </c>
      <c r="D20" s="9">
        <v>3201</v>
      </c>
      <c r="E20" s="10">
        <f t="shared" si="0"/>
        <v>3.8389580484996765E-2</v>
      </c>
      <c r="F20" s="10">
        <f t="shared" si="6"/>
        <v>2.5</v>
      </c>
      <c r="G20" s="10">
        <f t="shared" si="7"/>
        <v>0.17513911002412882</v>
      </c>
      <c r="H20" s="10">
        <f t="shared" si="1"/>
        <v>0.82486088997587115</v>
      </c>
      <c r="I20" s="11">
        <f t="shared" si="3"/>
        <v>67701.485442361329</v>
      </c>
      <c r="J20" s="11">
        <f t="shared" si="2"/>
        <v>11857.177907686677</v>
      </c>
      <c r="K20" s="11">
        <f>(B20*I21)+(F20*J20)</f>
        <v>308864.48244258994</v>
      </c>
      <c r="L20" s="11">
        <f t="shared" si="4"/>
        <v>842298.9419328064</v>
      </c>
      <c r="M20" s="13">
        <f t="shared" si="5"/>
        <v>12.44136574595413</v>
      </c>
      <c r="O20" s="1"/>
    </row>
    <row r="21" spans="1:16" x14ac:dyDescent="0.3">
      <c r="A21" s="9">
        <v>80</v>
      </c>
      <c r="B21" s="12">
        <v>5</v>
      </c>
      <c r="C21" s="18">
        <v>56754</v>
      </c>
      <c r="D21" s="9">
        <v>3918</v>
      </c>
      <c r="E21" s="10">
        <f t="shared" si="0"/>
        <v>6.9034781689396349E-2</v>
      </c>
      <c r="F21" s="10">
        <f t="shared" si="6"/>
        <v>2.5</v>
      </c>
      <c r="G21" s="10">
        <f t="shared" si="7"/>
        <v>0.29436956227741973</v>
      </c>
      <c r="H21" s="10">
        <f t="shared" si="1"/>
        <v>0.70563043772258027</v>
      </c>
      <c r="I21" s="11">
        <f t="shared" si="3"/>
        <v>55844.307534674648</v>
      </c>
      <c r="J21" s="11">
        <f t="shared" si="2"/>
        <v>16438.864364667788</v>
      </c>
      <c r="K21" s="11">
        <f t="shared" ref="K21" si="9">(B21*I22)+(F21*J21)</f>
        <v>238124.37676170375</v>
      </c>
      <c r="L21" s="11">
        <f>K21+L22</f>
        <v>533434.45949021645</v>
      </c>
      <c r="M21" s="13">
        <f t="shared" si="5"/>
        <v>9.5521725138949609</v>
      </c>
      <c r="O21" s="1"/>
    </row>
    <row r="22" spans="1:16" x14ac:dyDescent="0.3">
      <c r="A22" s="9" t="s">
        <v>13</v>
      </c>
      <c r="B22" s="12">
        <v>5</v>
      </c>
      <c r="C22" s="18">
        <v>46074</v>
      </c>
      <c r="D22" s="9">
        <v>6148</v>
      </c>
      <c r="E22" s="10">
        <f t="shared" si="0"/>
        <v>0.13343751356513434</v>
      </c>
      <c r="F22" s="10">
        <f t="shared" si="6"/>
        <v>2.5</v>
      </c>
      <c r="G22" s="10">
        <v>1</v>
      </c>
      <c r="H22" s="10">
        <f t="shared" si="1"/>
        <v>0</v>
      </c>
      <c r="I22" s="11">
        <f>I21*H21</f>
        <v>39405.44317000686</v>
      </c>
      <c r="J22" s="11">
        <f t="shared" si="2"/>
        <v>39405.44317000686</v>
      </c>
      <c r="K22" s="11">
        <f>I22/E22</f>
        <v>295310.0827285127</v>
      </c>
      <c r="L22" s="11">
        <f>I22/E22</f>
        <v>295310.0827285127</v>
      </c>
      <c r="M22" s="13">
        <f t="shared" si="5"/>
        <v>7.4941444372153549</v>
      </c>
      <c r="O22" s="1"/>
    </row>
    <row r="48" spans="3:6" x14ac:dyDescent="0.3">
      <c r="C48" s="21" t="s">
        <v>15</v>
      </c>
      <c r="D48" s="21"/>
      <c r="E48" s="21"/>
      <c r="F48" s="21"/>
    </row>
  </sheetData>
  <mergeCells count="1">
    <mergeCell ref="C48:F4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tabla mortalidad 1998</vt:lpstr>
      <vt:lpstr>tabla mortalidad 2018</vt:lpstr>
      <vt:lpstr>'tabla mortalidad 2018'!_Hlk25056703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Cecilia Villarroel</dc:creator>
  <cp:keywords/>
  <dc:description/>
  <cp:lastModifiedBy>neto castro</cp:lastModifiedBy>
  <cp:revision/>
  <dcterms:created xsi:type="dcterms:W3CDTF">2019-11-19T15:28:54Z</dcterms:created>
  <dcterms:modified xsi:type="dcterms:W3CDTF">2026-04-17T22:51:18Z</dcterms:modified>
  <cp:category/>
  <cp:contentStatus/>
</cp:coreProperties>
</file>